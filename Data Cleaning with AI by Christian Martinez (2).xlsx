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1"/>
  <workbookPr/>
  <mc:AlternateContent xmlns:mc="http://schemas.openxmlformats.org/markup-compatibility/2006">
    <mc:Choice Requires="x15">
      <x15ac:absPath xmlns:x15ac="http://schemas.microsoft.com/office/spreadsheetml/2010/11/ac" url="C:\Users\chris\OneDrive\Power BI Teach\Datasets\Guides\"/>
    </mc:Choice>
  </mc:AlternateContent>
  <xr:revisionPtr revIDLastSave="0" documentId="13_ncr:1_{E5057F8B-D6D6-45FD-9D77-AEC7134057A9}" xr6:coauthVersionLast="47" xr6:coauthVersionMax="47" xr10:uidLastSave="{00000000-0000-0000-0000-000000000000}"/>
  <bookViews>
    <workbookView xWindow="-23148" yWindow="-84" windowWidth="23256" windowHeight="12456" xr2:uid="{00000000-000D-0000-FFFF-FFFF00000000}"/>
  </bookViews>
  <sheets>
    <sheet name="Home" sheetId="8" r:id="rId1"/>
    <sheet name="Prompts" sheetId="6" r:id="rId2"/>
    <sheet name="Data→" sheetId="7" r:id="rId3"/>
    <sheet name="NA - Revenue" sheetId="1" r:id="rId4"/>
    <sheet name="EMEA - Revenue" sheetId="2" r:id="rId5"/>
    <sheet name="APAC - Revenue" sheetId="3" r:id="rId6"/>
    <sheet name="Clean with Python" sheetId="5" r:id="rId7"/>
    <sheet name="LATAM - Revenue" sheetId="4"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a="1"/>
  <c r="B2" i="5" s="1"/>
  <c r="E24" i="1"/>
  <c r="I11" i="1"/>
  <c r="I23" i="1"/>
  <c r="I22" i="1"/>
  <c r="I21" i="1"/>
  <c r="I20" i="1"/>
  <c r="I19" i="1"/>
  <c r="I18" i="1"/>
  <c r="I17" i="1"/>
  <c r="I15" i="1"/>
  <c r="I14" i="1"/>
  <c r="I13" i="1"/>
  <c r="I12" i="1"/>
  <c r="I10" i="1"/>
  <c r="G24" i="1"/>
  <c r="F24" i="1"/>
  <c r="I17" i="4"/>
  <c r="I16" i="4"/>
  <c r="I15" i="4"/>
  <c r="I14" i="4"/>
  <c r="I13" i="4"/>
  <c r="I12" i="4"/>
  <c r="I11" i="4"/>
  <c r="I10" i="4"/>
  <c r="I9" i="4"/>
  <c r="I8" i="4"/>
  <c r="I7" i="4"/>
  <c r="I6" i="4"/>
  <c r="I22" i="3"/>
  <c r="K22" i="3" s="1"/>
  <c r="I21" i="3"/>
  <c r="K21" i="3" s="1"/>
  <c r="I20" i="3"/>
  <c r="K20" i="3" s="1"/>
  <c r="I19" i="3"/>
  <c r="K19" i="3" s="1"/>
  <c r="I18" i="3"/>
  <c r="K18" i="3" s="1"/>
  <c r="I17" i="3"/>
  <c r="K17" i="3" s="1"/>
  <c r="I16" i="3"/>
  <c r="K16" i="3" s="1"/>
  <c r="I15" i="3"/>
  <c r="K15" i="3" s="1"/>
  <c r="I14" i="3"/>
  <c r="K14" i="3" s="1"/>
  <c r="I13" i="3"/>
  <c r="K13" i="3" s="1"/>
  <c r="I12" i="3"/>
  <c r="K12" i="3" s="1"/>
  <c r="I11" i="3"/>
  <c r="K11" i="3" s="1"/>
  <c r="I10" i="3"/>
  <c r="K10" i="3" s="1"/>
  <c r="I9" i="3"/>
  <c r="K9" i="3" s="1"/>
  <c r="I8" i="3"/>
  <c r="K8" i="3" s="1"/>
  <c r="I7" i="3"/>
  <c r="K7" i="3" s="1"/>
  <c r="G24" i="2"/>
  <c r="G23" i="2"/>
  <c r="G22" i="2"/>
  <c r="K21" i="2"/>
  <c r="I21" i="2"/>
  <c r="G21" i="2"/>
  <c r="G20" i="2"/>
  <c r="G19" i="2"/>
  <c r="G18" i="2"/>
  <c r="G17" i="2"/>
  <c r="G16" i="2"/>
  <c r="G15" i="2"/>
  <c r="G14" i="2"/>
  <c r="G13" i="2"/>
  <c r="G12" i="2"/>
  <c r="G11" i="2"/>
  <c r="G10" i="2"/>
  <c r="G9" i="2"/>
  <c r="G8" i="2"/>
  <c r="K17" i="4" l="1"/>
  <c r="L17" i="4" s="1"/>
  <c r="N17" i="4"/>
  <c r="K16" i="4"/>
  <c r="L16" i="4" s="1"/>
  <c r="N16" i="4"/>
  <c r="K15" i="4"/>
  <c r="L15" i="4" s="1"/>
  <c r="N15" i="4"/>
  <c r="N14" i="4"/>
  <c r="K14" i="4"/>
  <c r="L14" i="4" s="1"/>
  <c r="K13" i="4"/>
  <c r="L13" i="4" s="1"/>
  <c r="N13" i="4"/>
  <c r="N12" i="4"/>
  <c r="K12" i="4"/>
  <c r="L12" i="4" s="1"/>
  <c r="N11" i="4"/>
  <c r="K11" i="4"/>
  <c r="L11" i="4" s="1"/>
  <c r="N10" i="4"/>
  <c r="K10" i="4"/>
  <c r="L10" i="4" s="1"/>
  <c r="K9" i="4"/>
  <c r="L9" i="4" s="1"/>
  <c r="N9" i="4"/>
  <c r="N8" i="4"/>
  <c r="K8" i="4"/>
  <c r="L8" i="4" s="1"/>
  <c r="N7" i="4"/>
  <c r="K7" i="4"/>
  <c r="L7" i="4" s="1"/>
  <c r="K6" i="4"/>
  <c r="L6" i="4" s="1"/>
  <c r="N6" i="4"/>
  <c r="K24" i="2"/>
  <c r="I24" i="2"/>
  <c r="I23" i="2"/>
  <c r="K23" i="2"/>
  <c r="K22" i="2"/>
  <c r="I22" i="2"/>
  <c r="I20" i="2"/>
  <c r="K20" i="2"/>
  <c r="I19" i="2"/>
  <c r="K19" i="2"/>
  <c r="I18" i="2"/>
  <c r="K18" i="2"/>
  <c r="I17" i="2"/>
  <c r="K17" i="2"/>
  <c r="I16" i="2"/>
  <c r="K16" i="2"/>
  <c r="I15" i="2"/>
  <c r="K15" i="2"/>
  <c r="K14" i="2"/>
  <c r="I14" i="2"/>
  <c r="I13" i="2"/>
  <c r="K13" i="2"/>
  <c r="I12" i="2"/>
  <c r="K12" i="2"/>
  <c r="K11" i="2"/>
  <c r="I11" i="2"/>
  <c r="I10" i="2"/>
  <c r="K10" i="2"/>
  <c r="I9" i="2"/>
  <c r="K9" i="2"/>
  <c r="I8" i="2"/>
  <c r="K8"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Scripts>
    <pythonScript>
      <code>import pandas as pd
import re
# Read the raw sheet — xl() is Excel's built-in way to reference a range/sheet
raw = xl(%P2%, headers=False)
# Strip metadata rows above the header (rows 0-7), header is row 8
df = raw.iloc[8:23].copy()
df.columns = df.iloc[0]
df = df.iloc[1:].reset_index(drop=True)
# Rename columns to snake_case
col_map = {
    "Region":           "region",
    "Business Unit":    "business_unit",
    "Product  ":        "product",        # note: trailing spaces in source
    "Sales Rep":        "sales_rep",
    "Q1 ($000s)":       "q1_actual",
    "Q2 ($000s)":       "q2_actual",
    "q3 ($000s)":       "q3_actual",
    "Q4 ($000s)":       "q4_actual",
    "FY Total":         "fy_total",
    "YoY Growth":       "yoy_growth",
    "Budget":           "budget",
    "Variance vs Bud":  "variance_vs_budget",
    "Notes / Comments": "notes",
}
df.rename(columns=col_map, inplace=True)
# Drop any leftover unnamed columns
df = df[[c for c in df.columns if str(c) != "nan"]]
# Drop subtotal/stray rows at the bottom
df = df[~df["region"].astype(str).str.contains("SUBTOTAL", case=False, na=False)].reset_index(drop=True)
# --- Clean numeric columns ---
NULL_TOKENS = {"N/A", "PENDING", "TBD", "n/a", "pending", "tbd", "nan", ""}
num_cols = ["q1_actual", "q2_actual", "q3_actual", "q4_actual", "budget", "variance_vs_budget"]
flag_entries = []
for col in num_cols:
    if col not in df.columns:
        continue
    for idx, val in df[col].items():
        sval = str(val).strip()
        if sval in NULL_TOKENS or re.match(r"^est\.\s*\d+", sval, re.I):
            if sval not in ("nan", ""):
                flag_entries.append(f"{col}:'{sval}'")
            df.at[idx, col] = None
        else:
            try:
                df.at[idx, col] = float(sval)
            except ValueError:
                flag_entries.append(f"{col}:'{sval}'")
                df.at[idx, col] = None
# --- Recalculate FY Total ---
df["fy_total"] = df[["q1_actual", "q2_actual", "q3_actual", "q4_actual"]].sum(axis=1, min_count=1)
# --- data_flag column ---
df["data_flag"] = ""
for col in num_cols:
    if col not in df.columns:
        continue
    for idx, val in df[col].items():
        if pd.isna(val):
            raw_val = str(raw.iloc[df.index[idx] + 9, num_cols.index(col) + 4]).strip()
            if raw_val not in ("nan", "", "None"):
                df.at[idx, "data_flag"] = (df.at[idx, "data_flag"] + f"; {col}:was '{raw_val}'").lstrip("; ")
# --- Status column ---
def get_status(row):
    vals = [row.get(c) for c in ["q1_actual", "q2_actual", "q3_actual", "q4_actual"]]
    nums = [v for v in vals if pd.notna(v)]
    return "cancelled_or_inactive" if (nums and all(v == 0 for v in nums)) else "active"
df["status"] = df.apply(get_status, axis=1)
# --- Currency column ---
def get_currency(row):
    region = str(row.get("region", "")).lower()
    if "canada" in region: return "CAD"
    if "mexico" in region: return "MXN"
    return "USD"
df["currency"] = df.apply(get_currency, axis=1)
# Return the cleaned DataFrame — Excel will spill it into the sheet
df</code>
    </pythonScript>
  </pythonScripts>
</python>
</file>

<file path=xl/sharedStrings.xml><?xml version="1.0" encoding="utf-8"?>
<sst xmlns="http://schemas.openxmlformats.org/spreadsheetml/2006/main" count="395" uniqueCount="239">
  <si>
    <t>Last updated: January 2024 (maybe?)</t>
  </si>
  <si>
    <t>Contact: sarah.johnson@company.com  / backup: TBD</t>
  </si>
  <si>
    <t>NOTE: Q4 numbers are PRELIMINARY - subject to audit adjustment</t>
  </si>
  <si>
    <t>FX assumption: 1 USD = 1.08 EUR (check with treasury!!)</t>
  </si>
  <si>
    <t>North America Revenue Report</t>
  </si>
  <si>
    <t>Region</t>
  </si>
  <si>
    <t>Business Unit</t>
  </si>
  <si>
    <t xml:space="preserve">Product  </t>
  </si>
  <si>
    <t>Sales Rep</t>
  </si>
  <si>
    <t>Q1 ($000s)</t>
  </si>
  <si>
    <t>Q2 ($000s)</t>
  </si>
  <si>
    <t>q3 ($000s)</t>
  </si>
  <si>
    <t>Q4 ($000s)</t>
  </si>
  <si>
    <t>FY Total</t>
  </si>
  <si>
    <t>YoY Growth</t>
  </si>
  <si>
    <t>Budget</t>
  </si>
  <si>
    <t>Variance vs Bud</t>
  </si>
  <si>
    <t>Notes / Comments</t>
  </si>
  <si>
    <t>US - East</t>
  </si>
  <si>
    <t>Enterprise</t>
  </si>
  <si>
    <t>SaaS Platform</t>
  </si>
  <si>
    <t>Mike Thompson</t>
  </si>
  <si>
    <t>Professional Svcs</t>
  </si>
  <si>
    <t>Q4 includes one-time impl fee</t>
  </si>
  <si>
    <t>Mid-Market</t>
  </si>
  <si>
    <t>Jennifer Liu</t>
  </si>
  <si>
    <t>Rep change Q3 - Jennifer took over</t>
  </si>
  <si>
    <t xml:space="preserve">  Jennifer Liu  </t>
  </si>
  <si>
    <t>DUPLICATE? check with Jennifer</t>
  </si>
  <si>
    <t>US - West</t>
  </si>
  <si>
    <t>Carlos Mendez</t>
  </si>
  <si>
    <t>Hardware</t>
  </si>
  <si>
    <t>Q3 missing - awaiting warehouse confirmation</t>
  </si>
  <si>
    <t>&lt;-- Carlos flagged this as preliminary</t>
  </si>
  <si>
    <t>SMB</t>
  </si>
  <si>
    <t>Amy Chen</t>
  </si>
  <si>
    <t>N/A</t>
  </si>
  <si>
    <t>Q4 dispute with channel partner</t>
  </si>
  <si>
    <t>Canada</t>
  </si>
  <si>
    <t>Pierre Leblanc</t>
  </si>
  <si>
    <t>CAD amounts - need FX conversion!</t>
  </si>
  <si>
    <t>CAD amounts</t>
  </si>
  <si>
    <t>Marie Tremblay</t>
  </si>
  <si>
    <t>Mexico</t>
  </si>
  <si>
    <t>Roberto Diaz</t>
  </si>
  <si>
    <t>MXN - FX rate used: 17.2</t>
  </si>
  <si>
    <t>Ana Torres</t>
  </si>
  <si>
    <t>Below quota 3 quarters</t>
  </si>
  <si>
    <t>*** SUBTOTAL US ONLY (manual) ***</t>
  </si>
  <si>
    <t>TBD</t>
  </si>
  <si>
    <t>EMEA Revenue - FY2024</t>
  </si>
  <si>
    <t>Currency: EUR unless stated</t>
  </si>
  <si>
    <t>Prepared by: David Kowalski  (dkowalski@company.com)</t>
  </si>
  <si>
    <t>VERSION 3.1 - sent to CFO 15-Jan</t>
  </si>
  <si>
    <t>NOTE: UK numbers in GBP - multiply by 1.17 for EUR equiv.</t>
  </si>
  <si>
    <t>Country</t>
  </si>
  <si>
    <t>Segment</t>
  </si>
  <si>
    <t>Channel</t>
  </si>
  <si>
    <t>Account Manager</t>
  </si>
  <si>
    <t>H1 Actual</t>
  </si>
  <si>
    <t>H2 Actual</t>
  </si>
  <si>
    <t>FY Actual</t>
  </si>
  <si>
    <t>FY Budget</t>
  </si>
  <si>
    <t>% Attainment</t>
  </si>
  <si>
    <t>Prior Year</t>
  </si>
  <si>
    <t>YoY%</t>
  </si>
  <si>
    <t>Comments</t>
  </si>
  <si>
    <t>UK</t>
  </si>
  <si>
    <t>Direct</t>
  </si>
  <si>
    <t>James Wright</t>
  </si>
  <si>
    <t>GBP - see FX note above</t>
  </si>
  <si>
    <t>Partner</t>
  </si>
  <si>
    <t>GBP</t>
  </si>
  <si>
    <t>Digital</t>
  </si>
  <si>
    <t>Sophie Clark</t>
  </si>
  <si>
    <t>Germany</t>
  </si>
  <si>
    <t>Klaus Schmidt</t>
  </si>
  <si>
    <t>RECLASSIFY? May be part of row above</t>
  </si>
  <si>
    <t>Anna Müller</t>
  </si>
  <si>
    <t>Umlaut in name causing VLOOKUP issues in master file</t>
  </si>
  <si>
    <t>France</t>
  </si>
  <si>
    <t>Claire Dubois</t>
  </si>
  <si>
    <t>Marc Petit</t>
  </si>
  <si>
    <t>Underperforming vs budget</t>
  </si>
  <si>
    <t>Netherlands</t>
  </si>
  <si>
    <t>Pieter van den Berg</t>
  </si>
  <si>
    <t>Spain</t>
  </si>
  <si>
    <t>Isabel Garcia</t>
  </si>
  <si>
    <t>Behind budget - new competitor</t>
  </si>
  <si>
    <t>Carlos Ruiz</t>
  </si>
  <si>
    <t>Nordics</t>
  </si>
  <si>
    <t>Erik Lindqvist</t>
  </si>
  <si>
    <t>Covers SE/DK/NO/FI - split needed for reporting</t>
  </si>
  <si>
    <t>Middle East</t>
  </si>
  <si>
    <t>Ahmed Al-Farsi</t>
  </si>
  <si>
    <t>USD not EUR - needs conversion</t>
  </si>
  <si>
    <t>USD</t>
  </si>
  <si>
    <t>Africa</t>
  </si>
  <si>
    <t>Nomvula Dlamini</t>
  </si>
  <si>
    <t>ZAR converted at 18.5</t>
  </si>
  <si>
    <t>Old 2023 actuals below - IGNORE</t>
  </si>
  <si>
    <t>DRAFT - APAC FY2024 Revenue</t>
  </si>
  <si>
    <t>All figures in USD equivalent unless marked</t>
  </si>
  <si>
    <t xml:space="preserve">  </t>
  </si>
  <si>
    <t>Prepared: Finance team Singapore</t>
  </si>
  <si>
    <t>IMPORTANT: Japan figures need Tokyo sign-off before sharing externally</t>
  </si>
  <si>
    <t>China rev recog policy differs - see footnote in annual report p.47</t>
  </si>
  <si>
    <t>Market</t>
  </si>
  <si>
    <t>Sub-Region</t>
  </si>
  <si>
    <t>Vertical</t>
  </si>
  <si>
    <t>Rep Name</t>
  </si>
  <si>
    <t>Jan-Mar</t>
  </si>
  <si>
    <t>Apr-Jun</t>
  </si>
  <si>
    <t>Jul-Sep</t>
  </si>
  <si>
    <t>Oct-Dec</t>
  </si>
  <si>
    <t>Annual Total</t>
  </si>
  <si>
    <t>Budget FY24</t>
  </si>
  <si>
    <t>Beat/Miss</t>
  </si>
  <si>
    <t>Local Currency</t>
  </si>
  <si>
    <t>Remarks</t>
  </si>
  <si>
    <t>Japan</t>
  </si>
  <si>
    <t>Northeast Asia</t>
  </si>
  <si>
    <t>Financial Services</t>
  </si>
  <si>
    <t>Kenji Tanaka</t>
  </si>
  <si>
    <t>JPY @147</t>
  </si>
  <si>
    <t>Manufacturing</t>
  </si>
  <si>
    <t>Yuki Sato</t>
  </si>
  <si>
    <t>Technology</t>
  </si>
  <si>
    <t>Sato covers both verticals - split TBD</t>
  </si>
  <si>
    <t>China</t>
  </si>
  <si>
    <t>Greater China</t>
  </si>
  <si>
    <t>Wei Zhang</t>
  </si>
  <si>
    <t>CNY @7.1</t>
  </si>
  <si>
    <t>Rev recog Q2 delayed - booking Q3 confirmed</t>
  </si>
  <si>
    <t>Li Mei</t>
  </si>
  <si>
    <t>PENDING</t>
  </si>
  <si>
    <t>Q4 locked pending audit</t>
  </si>
  <si>
    <t>Government</t>
  </si>
  <si>
    <t>CNY</t>
  </si>
  <si>
    <t>Contract cancelled Q1 - no replacement pipeline</t>
  </si>
  <si>
    <t>Australia</t>
  </si>
  <si>
    <t>ANZ</t>
  </si>
  <si>
    <t>All Verticals</t>
  </si>
  <si>
    <t>Sarah O'Brien</t>
  </si>
  <si>
    <t>AUD @0.65</t>
  </si>
  <si>
    <t>AUD</t>
  </si>
  <si>
    <t>LEGACY contracts - winding down</t>
  </si>
  <si>
    <t>New Zealand</t>
  </si>
  <si>
    <t>NZD @0.60</t>
  </si>
  <si>
    <t>O'Brien covers both AUS+NZ</t>
  </si>
  <si>
    <t>Singapore</t>
  </si>
  <si>
    <t>Southeast Asia</t>
  </si>
  <si>
    <t>Raj Kumar</t>
  </si>
  <si>
    <t>SGD @0.74</t>
  </si>
  <si>
    <t>India</t>
  </si>
  <si>
    <t>South Asia</t>
  </si>
  <si>
    <t>Priya Sharma</t>
  </si>
  <si>
    <t>INR @83</t>
  </si>
  <si>
    <t>Arjun Patel</t>
  </si>
  <si>
    <t>New hire Q1 - ramping</t>
  </si>
  <si>
    <t>South Korea</t>
  </si>
  <si>
    <t>Ji-ho Kim</t>
  </si>
  <si>
    <t>KRW @1320</t>
  </si>
  <si>
    <t>Southeast Asia Other</t>
  </si>
  <si>
    <t>Mixed</t>
  </si>
  <si>
    <t>Various</t>
  </si>
  <si>
    <t>Covers MY/TH/VN/ID - needs country split</t>
  </si>
  <si>
    <t>FX RATES USED (snapshot Dec 31):</t>
  </si>
  <si>
    <t>JPY: 147 | CNY: 7.1 | AUD: 0.65 | SGD: 0.74 | INR: 83 | KRW: 1320 | NZD: 0.60</t>
  </si>
  <si>
    <t>Latin America Revenue</t>
  </si>
  <si>
    <t>** CONFIDENTIAL - Finance Eyes Only **</t>
  </si>
  <si>
    <t>Q4 data partially estimated - marked with (*)</t>
  </si>
  <si>
    <t>Brazil hyperinflation adjustment applied - see CFO memo 12-Dec</t>
  </si>
  <si>
    <t>City/Territory</t>
  </si>
  <si>
    <t>Product Line</t>
  </si>
  <si>
    <t>Owner</t>
  </si>
  <si>
    <t>Q1 Act</t>
  </si>
  <si>
    <t>Q2 Act</t>
  </si>
  <si>
    <t>Q3 Act</t>
  </si>
  <si>
    <t>Q4 Act*</t>
  </si>
  <si>
    <t>FY24 Act</t>
  </si>
  <si>
    <t>FY24 Bud</t>
  </si>
  <si>
    <t>Var $</t>
  </si>
  <si>
    <t>Var %</t>
  </si>
  <si>
    <t>FY23 Act</t>
  </si>
  <si>
    <t>2yr Growth</t>
  </si>
  <si>
    <t>Flag</t>
  </si>
  <si>
    <t>Brazil</t>
  </si>
  <si>
    <t>São Paulo</t>
  </si>
  <si>
    <t>SaaS</t>
  </si>
  <si>
    <t>Fernanda Costa</t>
  </si>
  <si>
    <t>Services</t>
  </si>
  <si>
    <t>Rio de Janeiro</t>
  </si>
  <si>
    <t>Bruno Lima</t>
  </si>
  <si>
    <t>est. 1150</t>
  </si>
  <si>
    <t>Q4 estimated</t>
  </si>
  <si>
    <t>Other</t>
  </si>
  <si>
    <t>Covers BH/Brasilia/Curitiba</t>
  </si>
  <si>
    <t>Colombia</t>
  </si>
  <si>
    <t>Bogotá</t>
  </si>
  <si>
    <t>Valentina Reyes</t>
  </si>
  <si>
    <t>COP - converted at 4050</t>
  </si>
  <si>
    <t>COP</t>
  </si>
  <si>
    <t>Chile</t>
  </si>
  <si>
    <t>Santiago</t>
  </si>
  <si>
    <t>Alejandro Muñoz</t>
  </si>
  <si>
    <t>CLP @900</t>
  </si>
  <si>
    <t>Argentina</t>
  </si>
  <si>
    <t>Buenos Aires</t>
  </si>
  <si>
    <t>Lucia Fernandez</t>
  </si>
  <si>
    <t>**HIGH RISK** - FX + macro - Q4 unrecognized</t>
  </si>
  <si>
    <t>CANCELLED contracts - remove from model</t>
  </si>
  <si>
    <t>Peru</t>
  </si>
  <si>
    <t>Lima</t>
  </si>
  <si>
    <t>Diego Vargas</t>
  </si>
  <si>
    <t>PEN @3.8</t>
  </si>
  <si>
    <t>Ecuador</t>
  </si>
  <si>
    <t>Quito</t>
  </si>
  <si>
    <t>USD (dollarized)</t>
  </si>
  <si>
    <t>Central America</t>
  </si>
  <si>
    <t>Covers GT/CR/PA/SV - no country split</t>
  </si>
  <si>
    <t>---</t>
  </si>
  <si>
    <t>2023 Actuals for reference (unaudited)</t>
  </si>
  <si>
    <t>Brazil total</t>
  </si>
  <si>
    <t>Colombia total</t>
  </si>
  <si>
    <t>CHECK</t>
  </si>
  <si>
    <t>SYNTHETIC DATA</t>
  </si>
  <si>
    <t>Interactive App</t>
  </si>
  <si>
    <t>Video Guide:</t>
  </si>
  <si>
    <t>https://claude.ai/public/artifacts/d92731ad-8069-4de9-b846-8ead914f1d46</t>
  </si>
  <si>
    <t>https://www.youtube.com/watch?v=H_KkflkaOps</t>
  </si>
  <si>
    <t>Prompts:</t>
  </si>
  <si>
    <t>Ad-hoc Cleaning Prompt · Copy &amp; Send with File</t>
  </si>
  <si>
    <t>I have attached a multi-tab FP&amp;A revenue file. Please clean it and return a clean .xlsx file. Specifically: 1. STRUCTURE: Find where each tab's actual data table begins (headers may not be at row 1). Remove all metadata comments, blank rows, and stray notes above and below the data table. 2. HEADERS: Standardise column headers across all tabs to snake_case. Map regional variants (H1/H2 → q1_actual through q4_actual, Jan-Mar → q1_actual, etc.). 3. DUPLICATES: Identify and remove exact or near-duplicate rows (e.g. same rep name with whitespace differences). Flag which rows were removed in a "Cleaning Log" sheet.</t>
  </si>
  <si>
    <t>Artifact Builder Prompt · Paste in Claude Without a File</t>
  </si>
  <si>
    <t>Please build me a React artifact that acts as a reusable FP&amp;A data cleaning tool. It should work like this: INTERFACE: - A clean upload area where I can drag-and-drop or select an .xlsx file - A "Clean File" button that triggers the cleaning process - A progress/status display showing what's being cleaned - A "Download Clean File" button once processing is complete - A collapsible "Cleaning Log" section showing all changes made CLEANING RULES (apply to every file uploaded): 1. Auto-detect where data tables start on each sheet (skip rows until a row with 5+ non-empty cells is found — that's the header row) 2. Standardise all column headers to snake_case, mapping common FP&amp;A variants: H1/H2 Actual → q1_actual+q2_actual / q3_actual+q4_actual, Jan-Mar/Apr-Jun/Jul-Sep/Oct-Dec → q1–q4, "($000s)" suffix removal 3. Strip leading/trailing whitespace from all text cells 4. Remove exact duplicate rows (same values across all columns after trim) 5. In numeric columns: replace "N/A", "n/a", "TBD", "PENDING", "CHECK", "ERR", "est.*" patterns with null; preserve actual numbers 6. Add column "currency_flag" populated from a country→currency lookup (USD default; GBP for UK rows, EUR for EMEA, CAD for Canada, etc.) 7. Add column "row_status": "active" if any quarterly actual &gt; 0, "inactive_zero" if all actuals = 0, "incomplete" if any actual is null 8. Move any rows found below a "---" separator or below a row containing "reference", "2023", "ignore" (case-insensitive) into a separate sheet called "Archived_Rows" 9. Produce a "Cleaning_Log" sheet with columns: sheet, row_number, column, original_value, cleaned_value, reason TECHNICAL: - Use SheetJS (xlsx library from CDN) for reading and writing Excel files - Process entirely in the browser — no data leaves the page - Output a .xlsx file with the same sheet names as input, plus Cleaning_Log and (if applicable) Archived_Rows sheets Make it look professional. Use a minimal, clean aesthetic.</t>
  </si>
  <si>
    <t>Prompt for Any AI · To Generate Python Code</t>
  </si>
  <si>
    <t>Write me Python code for Google Colab that cleans a messy FP&amp;A Excel file. The file has these characteristics: - Multiple sheets (one per region: NA, EMEA, APAC, LATAM) - Each sheet has 4-6 rows of metadata/comments at the top before the actual data table - Headers may be in inconsistent case and format (e.g. "q3 ($000s)", "H1 Actual", "Jan-Mar") - Some cells contain text like "N/A", "PENDING", "TBD", "est. 1150" in numeric columns - There are duplicate rows (some with whitespace differences in text fields) - Stray data rows may appear below the main table - Some rows have all-zero actuals (cancelled contracts) Please write Colab-ready Python code using pandas and openpyxl that: 1. Reads all sheets from an uploaded .xlsx file (use google.colab files.upload()) 2. For each sheet: auto-detects the header row (first row with 5+ non-empty cells), reads data from that row onwards, strips whitespace from all text cells, standardises column headers to snake_case 3. In numeric columns: replaces "N/A", "PENDING", "TBD", "CHECK", and strings matching "est.*" with NaN 4. Removes exact duplicate rows 5. Adds a "row_status" column: "active", "inactive_zero" (all quarterly cols = 0 or null), or "incomplete" (any quarterly col is null) 6. Saves the result to a new .xlsx file with a "Cleaning_Log" sheet and triggers a download Include clear comments in the code explaining each step. Make the code robust to sheet naming variations.</t>
  </si>
  <si>
    <t>3 METHODS TO CLEAN FP&amp;A AND FINANCE DATA WITH 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</si>
</sst>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1"/>
      <color rgb="FFFF0000"/>
      <name val="Calibri"/>
      <family val="2"/>
    </font>
    <font>
      <b/>
      <sz val="14"/>
      <name val="Calibri"/>
      <family val="2"/>
    </font>
    <font>
      <b/>
      <sz val="11"/>
      <color rgb="FFFFFFFF"/>
      <name val="Calibri"/>
      <family val="2"/>
    </font>
    <font>
      <i/>
      <sz val="11"/>
      <color rgb="FFFF6600"/>
      <name val="Calibri"/>
      <family val="2"/>
    </font>
    <font>
      <b/>
      <sz val="13"/>
      <name val="Calibri"/>
      <family val="2"/>
    </font>
    <font>
      <i/>
      <sz val="11"/>
      <color rgb="FF999999"/>
      <name val="Calibri"/>
      <family val="2"/>
    </font>
    <font>
      <b/>
      <sz val="12"/>
      <color rgb="FFCC0000"/>
      <name val="Calibri"/>
      <family val="2"/>
    </font>
    <font>
      <i/>
      <sz val="9"/>
      <name val="Calibri"/>
      <family val="2"/>
    </font>
    <font>
      <b/>
      <sz val="11"/>
      <color rgb="FFCC0000"/>
      <name val="Calibri"/>
      <family val="2"/>
    </font>
    <font>
      <i/>
      <sz val="11"/>
      <color rgb="FF888888"/>
      <name val="Calibri"/>
      <family val="2"/>
    </font>
    <font>
      <b/>
      <sz val="11"/>
      <color theme="1"/>
      <name val="Calibri"/>
      <family val="2"/>
      <scheme val="minor"/>
    </font>
    <font>
      <u/>
      <sz val="11"/>
      <color theme="10"/>
      <name val="Calibri"/>
      <family val="2"/>
      <scheme val="minor"/>
    </font>
    <font>
      <sz val="22"/>
      <color theme="1"/>
      <name val="Calibri"/>
      <family val="2"/>
      <scheme val="minor"/>
    </font>
    <font>
      <u/>
      <sz val="22"/>
      <color theme="10"/>
      <name val="Calibri"/>
      <family val="2"/>
      <scheme val="minor"/>
    </font>
    <font>
      <sz val="22"/>
      <color theme="1"/>
      <name val="Segoe UI"/>
      <family val="2"/>
    </font>
    <font>
      <u/>
      <sz val="22"/>
      <color theme="10"/>
      <name val="Segoe UI"/>
      <family val="2"/>
    </font>
    <font>
      <b/>
      <sz val="22"/>
      <color theme="0"/>
      <name val="Segoe UI"/>
      <family val="2"/>
    </font>
    <font>
      <b/>
      <sz val="36"/>
      <color rgb="FF2E5C49"/>
      <name val="Segoe UI"/>
      <family val="2"/>
    </font>
    <font>
      <sz val="36"/>
      <color theme="1"/>
      <name val="Segoe UI"/>
      <family val="2"/>
    </font>
    <font>
      <sz val="36"/>
      <color rgb="FF1A1410"/>
      <name val="Segoe UI"/>
      <family val="2"/>
    </font>
    <font>
      <b/>
      <sz val="22"/>
      <color rgb="FFCC9900"/>
      <name val="Calibri"/>
      <family val="2"/>
      <scheme val="minor"/>
    </font>
  </fonts>
  <fills count="9">
    <fill>
      <patternFill patternType="none"/>
    </fill>
    <fill>
      <patternFill patternType="gray125"/>
    </fill>
    <fill>
      <patternFill patternType="solid">
        <fgColor rgb="FF1F3864"/>
      </patternFill>
    </fill>
    <fill>
      <patternFill patternType="solid">
        <fgColor rgb="FF7B3F00"/>
      </patternFill>
    </fill>
    <fill>
      <patternFill patternType="solid">
        <fgColor rgb="FF0F4C81"/>
      </patternFill>
    </fill>
    <fill>
      <patternFill patternType="solid">
        <fgColor rgb="FF1A5276"/>
      </patternFill>
    </fill>
    <fill>
      <patternFill patternType="solid">
        <fgColor theme="0" tint="-4.9989318521683403E-2"/>
        <bgColor indexed="64"/>
      </patternFill>
    </fill>
    <fill>
      <patternFill patternType="solid">
        <fgColor rgb="FF008000"/>
        <bgColor indexed="64"/>
      </patternFill>
    </fill>
    <fill>
      <patternFill patternType="solid">
        <fgColor rgb="FF003300"/>
        <bgColor indexed="64"/>
      </patternFill>
    </fill>
  </fills>
  <borders count="1">
    <border>
      <left/>
      <right/>
      <top/>
      <bottom/>
      <diagonal/>
    </border>
  </borders>
  <cellStyleXfs count="2">
    <xf numFmtId="0" fontId="0" fillId="0" borderId="0"/>
    <xf numFmtId="0" fontId="12" fillId="0" borderId="0" applyNumberFormat="0" applyFill="0" applyBorder="0" applyAlignment="0" applyProtection="0"/>
  </cellStyleXfs>
  <cellXfs count="2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3" fillId="3" borderId="0" xfId="0" applyFont="1" applyFill="1"/>
    <xf numFmtId="0" fontId="6" fillId="0" borderId="0" xfId="0" applyFont="1"/>
    <xf numFmtId="0" fontId="7" fillId="0" borderId="0" xfId="0" applyFont="1"/>
    <xf numFmtId="0" fontId="3" fillId="4" borderId="0" xfId="0" applyFont="1" applyFill="1"/>
    <xf numFmtId="0" fontId="8" fillId="0" borderId="0" xfId="0" applyFont="1"/>
    <xf numFmtId="0" fontId="9" fillId="0" borderId="0" xfId="0" applyFont="1"/>
    <xf numFmtId="0" fontId="3" fillId="5" borderId="0" xfId="0" applyFont="1" applyFill="1"/>
    <xf numFmtId="0" fontId="10" fillId="0" borderId="0" xfId="0" applyFont="1"/>
    <xf numFmtId="0" fontId="1" fillId="6" borderId="0" xfId="0" applyFont="1" applyFill="1"/>
    <xf numFmtId="0" fontId="0" fillId="6" borderId="0" xfId="0" applyFill="1"/>
    <xf numFmtId="0" fontId="11" fillId="6" borderId="0" xfId="0" applyFont="1" applyFill="1"/>
    <xf numFmtId="0" fontId="13" fillId="0" borderId="0" xfId="0" applyFont="1"/>
    <xf numFmtId="0" fontId="14" fillId="0" borderId="0" xfId="1" applyFont="1"/>
    <xf numFmtId="0" fontId="15" fillId="0" borderId="0" xfId="0" applyFont="1"/>
    <xf numFmtId="0" fontId="16" fillId="0" borderId="0" xfId="1" applyFont="1"/>
    <xf numFmtId="0" fontId="17" fillId="7" borderId="0" xfId="0" applyFont="1" applyFill="1"/>
    <xf numFmtId="0" fontId="18" fillId="0" borderId="0" xfId="0" applyFont="1" applyAlignment="1">
      <alignment vertical="center"/>
    </xf>
    <xf numFmtId="0" fontId="19" fillId="0" borderId="0" xfId="0" applyFont="1" applyAlignment="1"/>
    <xf numFmtId="0" fontId="20" fillId="0" borderId="0" xfId="0" applyFont="1" applyAlignment="1"/>
    <xf numFmtId="0" fontId="20" fillId="0" borderId="0" xfId="0" applyFont="1" applyAlignment="1">
      <alignment horizontal="left" vertical="center"/>
    </xf>
    <xf numFmtId="0" fontId="21" fillId="8" borderId="0" xfId="0" applyFont="1" applyFill="1" applyAlignment="1">
      <alignment horizontal="centerContinuous"/>
    </xf>
  </cellXfs>
  <cellStyles count="2">
    <cellStyle name="Hyperlink" xfId="1" builtinId="8"/>
    <cellStyle name="Normal" xfId="0" builtinId="0"/>
  </cellStyles>
  <dxfs count="0"/>
  <tableStyles count="0" defaultTableStyle="TableStyleMedium9" defaultPivotStyle="PivotStyleLight16"/>
  <colors>
    <mruColors>
      <color rgb="FFCC9900"/>
      <color rgb="FF003300"/>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06/relationships/rdRichValue" Target="richData/rdrichvalue.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microsoft.com/office/2017/06/relationships/rdSupportingPropertyBag" Target="richData/rdsupportingpropertybag.xml"/><Relationship Id="rId2" Type="http://schemas.openxmlformats.org/officeDocument/2006/relationships/worksheet" Target="worksheets/sheet2.xml"/><Relationship Id="rId16" Type="http://schemas.microsoft.com/office/2017/06/relationships/rdSupportingPropertyBagStructure" Target="richData/rdsupportingpropertybagstructure.xml"/><Relationship Id="rId20" Type="http://schemas.microsoft.com/office/2023/09/relationships/Python" Target="pyth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ichStyles" Target="richData/richStyles.xml"/><Relationship Id="rId10" Type="http://schemas.openxmlformats.org/officeDocument/2006/relationships/styles" Target="styles.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255597</xdr:colOff>
      <xdr:row>0</xdr:row>
      <xdr:rowOff>88722</xdr:rowOff>
    </xdr:from>
    <xdr:to>
      <xdr:col>11</xdr:col>
      <xdr:colOff>435292</xdr:colOff>
      <xdr:row>20</xdr:row>
      <xdr:rowOff>95569</xdr:rowOff>
    </xdr:to>
    <xdr:pic>
      <xdr:nvPicPr>
        <xdr:cNvPr id="2" name="Picture 1">
          <a:extLst>
            <a:ext uri="{FF2B5EF4-FFF2-40B4-BE49-F238E27FC236}">
              <a16:creationId xmlns:a16="http://schemas.microsoft.com/office/drawing/2014/main" id="{06A062D4-9AA4-34EE-3608-79CAB33FA524}"/>
            </a:ext>
          </a:extLst>
        </xdr:cNvPr>
        <xdr:cNvPicPr>
          <a:picLocks noChangeAspect="1"/>
        </xdr:cNvPicPr>
      </xdr:nvPicPr>
      <xdr:blipFill>
        <a:blip xmlns:r="http://schemas.openxmlformats.org/officeDocument/2006/relationships" r:embed="rId1"/>
        <a:stretch>
          <a:fillRect/>
        </a:stretch>
      </xdr:blipFill>
      <xdr:spPr>
        <a:xfrm>
          <a:off x="255597" y="88722"/>
          <a:ext cx="6885295" cy="4587812"/>
        </a:xfrm>
        <a:prstGeom prst="rect">
          <a:avLst/>
        </a:prstGeom>
      </xdr:spPr>
    </xdr:pic>
    <xdr:clientData/>
  </xdr:twoCellAnchor>
  <xdr:twoCellAnchor editAs="oneCell">
    <xdr:from>
      <xdr:col>12</xdr:col>
      <xdr:colOff>223036</xdr:colOff>
      <xdr:row>8</xdr:row>
      <xdr:rowOff>111803</xdr:rowOff>
    </xdr:from>
    <xdr:to>
      <xdr:col>17</xdr:col>
      <xdr:colOff>250665</xdr:colOff>
      <xdr:row>24</xdr:row>
      <xdr:rowOff>66309</xdr:rowOff>
    </xdr:to>
    <xdr:pic>
      <xdr:nvPicPr>
        <xdr:cNvPr id="3" name="Picture 2">
          <a:extLst>
            <a:ext uri="{FF2B5EF4-FFF2-40B4-BE49-F238E27FC236}">
              <a16:creationId xmlns:a16="http://schemas.microsoft.com/office/drawing/2014/main" id="{8D7E22A2-2F54-B7CC-0212-58213A74D2A4}"/>
            </a:ext>
          </a:extLst>
        </xdr:cNvPr>
        <xdr:cNvPicPr>
          <a:picLocks noChangeAspect="1"/>
        </xdr:cNvPicPr>
      </xdr:nvPicPr>
      <xdr:blipFill>
        <a:blip xmlns:r="http://schemas.openxmlformats.org/officeDocument/2006/relationships" r:embed="rId2"/>
        <a:stretch>
          <a:fillRect/>
        </a:stretch>
      </xdr:blipFill>
      <xdr:spPr>
        <a:xfrm>
          <a:off x="7538236" y="2489243"/>
          <a:ext cx="3830009" cy="2880586"/>
        </a:xfrm>
        <a:prstGeom prst="rect">
          <a:avLst/>
        </a:prstGeom>
      </xdr:spPr>
    </xdr:pic>
    <xdr:clientData/>
  </xdr:twoCellAnchor>
  <xdr:twoCellAnchor editAs="oneCell">
    <xdr:from>
      <xdr:col>12</xdr:col>
      <xdr:colOff>977417</xdr:colOff>
      <xdr:row>11</xdr:row>
      <xdr:rowOff>167640</xdr:rowOff>
    </xdr:from>
    <xdr:to>
      <xdr:col>18</xdr:col>
      <xdr:colOff>167641</xdr:colOff>
      <xdr:row>26</xdr:row>
      <xdr:rowOff>62569</xdr:rowOff>
    </xdr:to>
    <xdr:pic>
      <xdr:nvPicPr>
        <xdr:cNvPr id="4" name="Picture 3">
          <a:extLst>
            <a:ext uri="{FF2B5EF4-FFF2-40B4-BE49-F238E27FC236}">
              <a16:creationId xmlns:a16="http://schemas.microsoft.com/office/drawing/2014/main" id="{AA222C1E-E51F-3D79-C3D0-98DBC31C6CD3}"/>
            </a:ext>
          </a:extLst>
        </xdr:cNvPr>
        <xdr:cNvPicPr>
          <a:picLocks noChangeAspect="1"/>
        </xdr:cNvPicPr>
      </xdr:nvPicPr>
      <xdr:blipFill>
        <a:blip xmlns:r="http://schemas.openxmlformats.org/officeDocument/2006/relationships" r:embed="rId3"/>
        <a:stretch>
          <a:fillRect/>
        </a:stretch>
      </xdr:blipFill>
      <xdr:spPr>
        <a:xfrm>
          <a:off x="8292617" y="3093720"/>
          <a:ext cx="3602204" cy="2638129"/>
        </a:xfrm>
        <a:prstGeom prst="rect">
          <a:avLst/>
        </a:prstGeom>
      </xdr:spPr>
    </xdr:pic>
    <xdr:clientData/>
  </xdr:twoCellAnchor>
  <xdr:twoCellAnchor editAs="oneCell">
    <xdr:from>
      <xdr:col>12</xdr:col>
      <xdr:colOff>1579397</xdr:colOff>
      <xdr:row>14</xdr:row>
      <xdr:rowOff>84160</xdr:rowOff>
    </xdr:from>
    <xdr:to>
      <xdr:col>20</xdr:col>
      <xdr:colOff>144780</xdr:colOff>
      <xdr:row>31</xdr:row>
      <xdr:rowOff>52395</xdr:rowOff>
    </xdr:to>
    <xdr:pic>
      <xdr:nvPicPr>
        <xdr:cNvPr id="5" name="Picture 4">
          <a:extLst>
            <a:ext uri="{FF2B5EF4-FFF2-40B4-BE49-F238E27FC236}">
              <a16:creationId xmlns:a16="http://schemas.microsoft.com/office/drawing/2014/main" id="{94923165-2D58-DEFB-0202-4C8F982EE5DE}"/>
            </a:ext>
          </a:extLst>
        </xdr:cNvPr>
        <xdr:cNvPicPr>
          <a:picLocks noChangeAspect="1"/>
        </xdr:cNvPicPr>
      </xdr:nvPicPr>
      <xdr:blipFill>
        <a:blip xmlns:r="http://schemas.openxmlformats.org/officeDocument/2006/relationships" r:embed="rId4"/>
        <a:stretch>
          <a:fillRect/>
        </a:stretch>
      </xdr:blipFill>
      <xdr:spPr>
        <a:xfrm>
          <a:off x="8894597" y="3558880"/>
          <a:ext cx="4196563" cy="3077195"/>
        </a:xfrm>
        <a:prstGeom prst="rect">
          <a:avLst/>
        </a:prstGeom>
      </xdr:spPr>
    </xdr:pic>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0</fb>
    <v>0</v>
  </rv>
</rvData>
</file>

<file path=xl/richData/rdrichvaluestructure.xml><?xml version="1.0" encoding="utf-8"?>
<rvStructures xmlns="http://schemas.microsoft.com/office/spreadsheetml/2017/richdata" count="1">
  <s t="_formattednumber">
    <k n="_Format" t="spb"/>
  </s>
</rvStructures>
</file>

<file path=xl/richData/rdsupportingpropertybag.xml><?xml version="1.0" encoding="utf-8"?>
<supportingPropertyBags xmlns="http://schemas.microsoft.com/office/spreadsheetml/2017/richdata2">
  <spbData count="1">
    <spb s="0">
      <v>1</v>
    </spb>
  </spbData>
</supportingPropertyBags>
</file>

<file path=xl/richData/rdsupportingpropertybagstructure.xml><?xml version="1.0" encoding="utf-8"?>
<spbStructures xmlns="http://schemas.microsoft.com/office/spreadsheetml/2017/richdata2" count="1">
  <s>
    <k n="_Self"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1">
    <x:dxf>
      <x:numFmt numFmtId="0" formatCode="General"/>
    </x:dxf>
  </dxfs>
  <richProperties>
    <rPr n="NumberFormat" t="s"/>
  </richProperties>
  <richStyles>
    <rSty dxfid="0">
      <rpv i="0">0;-0;"None"</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youtube.com/watch?v=H_KkflkaOps" TargetMode="External"/><Relationship Id="rId1" Type="http://schemas.openxmlformats.org/officeDocument/2006/relationships/hyperlink" Target="https://claude.ai/public/artifacts/d92731ad-8069-4de9-b846-8ead914f1d46"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www.youtube.com/watch?v=H_KkflkaOps" TargetMode="External"/><Relationship Id="rId1" Type="http://schemas.openxmlformats.org/officeDocument/2006/relationships/hyperlink" Target="https://claude.ai/public/artifacts/d92731ad-8069-4de9-b846-8ead914f1d4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00837-503A-4396-B3A0-719A063181ED}">
  <dimension ref="M2:U8"/>
  <sheetViews>
    <sheetView showGridLines="0" tabSelected="1" zoomScaleNormal="100" workbookViewId="0">
      <selection activeCell="U11" sqref="U11"/>
    </sheetView>
  </sheetViews>
  <sheetFormatPr defaultRowHeight="14.4" x14ac:dyDescent="0.3"/>
  <cols>
    <col min="13" max="13" width="27.109375" bestFit="1" customWidth="1"/>
    <col min="14" max="14" width="1.6640625" customWidth="1"/>
    <col min="21" max="21" width="17.88671875" customWidth="1"/>
  </cols>
  <sheetData>
    <row r="2" spans="13:21" ht="28.8" x14ac:dyDescent="0.55000000000000004">
      <c r="M2" s="17" t="s">
        <v>227</v>
      </c>
      <c r="N2" s="17"/>
    </row>
    <row r="3" spans="13:21" ht="28.8" x14ac:dyDescent="0.55000000000000004">
      <c r="M3" s="18" t="s">
        <v>229</v>
      </c>
      <c r="N3" s="17"/>
      <c r="O3" s="17"/>
    </row>
    <row r="4" spans="13:21" ht="28.8" x14ac:dyDescent="0.55000000000000004">
      <c r="M4" s="17" t="s">
        <v>228</v>
      </c>
      <c r="N4" s="17"/>
    </row>
    <row r="5" spans="13:21" ht="28.8" x14ac:dyDescent="0.55000000000000004">
      <c r="M5" s="18" t="s">
        <v>230</v>
      </c>
    </row>
    <row r="8" spans="13:21" ht="28.8" x14ac:dyDescent="0.55000000000000004">
      <c r="M8" s="26" t="s">
        <v>238</v>
      </c>
      <c r="N8" s="26"/>
      <c r="O8" s="26"/>
      <c r="P8" s="26"/>
      <c r="Q8" s="26"/>
      <c r="R8" s="26"/>
      <c r="S8" s="26"/>
      <c r="T8" s="26"/>
      <c r="U8" s="26"/>
    </row>
  </sheetData>
  <hyperlinks>
    <hyperlink ref="M3" r:id="rId1" xr:uid="{5623EA1C-745E-4F23-A1F8-8273AEFC95E2}"/>
    <hyperlink ref="M5" r:id="rId2" xr:uid="{930661AE-3668-4BC3-9197-D3ABE180821B}"/>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2407-5649-4B51-A1DA-CE7D6235A21A}">
  <sheetPr>
    <tabColor rgb="FFFFC000"/>
  </sheetPr>
  <dimension ref="B2:J18"/>
  <sheetViews>
    <sheetView showGridLines="0" zoomScale="70" zoomScaleNormal="70" workbookViewId="0">
      <selection activeCell="L7" sqref="L7"/>
    </sheetView>
  </sheetViews>
  <sheetFormatPr defaultColWidth="17.88671875" defaultRowHeight="32.4" x14ac:dyDescent="0.7"/>
  <cols>
    <col min="1" max="1" width="8.21875" style="19" customWidth="1"/>
    <col min="2" max="16384" width="17.88671875" style="19"/>
  </cols>
  <sheetData>
    <row r="2" spans="2:10" x14ac:dyDescent="0.7">
      <c r="B2" s="19" t="s">
        <v>227</v>
      </c>
      <c r="D2" s="20" t="s">
        <v>229</v>
      </c>
    </row>
    <row r="4" spans="2:10" x14ac:dyDescent="0.7">
      <c r="B4" s="19" t="s">
        <v>228</v>
      </c>
      <c r="D4" s="20" t="s">
        <v>230</v>
      </c>
    </row>
    <row r="6" spans="2:10" x14ac:dyDescent="0.7">
      <c r="B6" s="21" t="s">
        <v>231</v>
      </c>
      <c r="C6" s="21"/>
      <c r="D6" s="21"/>
      <c r="E6" s="21"/>
      <c r="F6" s="21"/>
      <c r="G6" s="21"/>
      <c r="H6" s="21"/>
      <c r="I6" s="21"/>
      <c r="J6" s="21"/>
    </row>
    <row r="8" spans="2:10" ht="52.2" x14ac:dyDescent="1.1000000000000001">
      <c r="B8" s="22" t="s">
        <v>232</v>
      </c>
      <c r="C8" s="23"/>
    </row>
    <row r="9" spans="2:10" ht="52.2" x14ac:dyDescent="1.1000000000000001">
      <c r="B9" s="23"/>
      <c r="C9" s="23"/>
    </row>
    <row r="10" spans="2:10" ht="52.2" x14ac:dyDescent="1.1000000000000001">
      <c r="B10" s="24" t="s">
        <v>233</v>
      </c>
      <c r="C10" s="23"/>
    </row>
    <row r="11" spans="2:10" ht="52.2" x14ac:dyDescent="1.1000000000000001">
      <c r="B11" s="23"/>
      <c r="C11" s="23"/>
    </row>
    <row r="12" spans="2:10" ht="52.2" x14ac:dyDescent="1.1000000000000001">
      <c r="B12" s="22" t="s">
        <v>234</v>
      </c>
      <c r="C12" s="23"/>
    </row>
    <row r="13" spans="2:10" ht="52.2" x14ac:dyDescent="1.1000000000000001">
      <c r="B13" s="23"/>
      <c r="C13" s="23"/>
    </row>
    <row r="14" spans="2:10" ht="52.2" x14ac:dyDescent="1.1000000000000001">
      <c r="B14" s="25" t="s">
        <v>235</v>
      </c>
      <c r="C14" s="23"/>
    </row>
    <row r="15" spans="2:10" ht="52.2" x14ac:dyDescent="1.1000000000000001">
      <c r="B15" s="23"/>
      <c r="C15" s="23"/>
    </row>
    <row r="16" spans="2:10" ht="52.2" x14ac:dyDescent="1.1000000000000001">
      <c r="B16" s="22" t="s">
        <v>236</v>
      </c>
      <c r="C16" s="23"/>
    </row>
    <row r="17" spans="2:3" ht="52.2" x14ac:dyDescent="1.1000000000000001">
      <c r="B17" s="23"/>
      <c r="C17" s="23"/>
    </row>
    <row r="18" spans="2:3" ht="52.2" x14ac:dyDescent="1.1000000000000001">
      <c r="B18" s="25" t="s">
        <v>237</v>
      </c>
      <c r="C18" s="23"/>
    </row>
  </sheetData>
  <hyperlinks>
    <hyperlink ref="D2" r:id="rId1" xr:uid="{6014CE4A-28E3-4463-8B46-61D9628F315A}"/>
    <hyperlink ref="D4" r:id="rId2" xr:uid="{BBDE793D-D3EB-47AC-9FF6-A8856AB011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7F970-45B3-4478-A2A6-31F9A59BAC23}">
  <sheetPr>
    <tabColor rgb="FF008000"/>
  </sheetPr>
  <dimension ref="A1"/>
  <sheetViews>
    <sheetView workbookViewId="0">
      <selection activeCell="H12" sqref="H12"/>
    </sheetView>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79998168889431442"/>
  </sheetPr>
  <dimension ref="A1:N24"/>
  <sheetViews>
    <sheetView zoomScale="85" zoomScaleNormal="85" workbookViewId="0"/>
  </sheetViews>
  <sheetFormatPr defaultRowHeight="14.4" x14ac:dyDescent="0.3"/>
  <cols>
    <col min="1" max="2" width="40" customWidth="1"/>
    <col min="3" max="3" width="19" customWidth="1"/>
    <col min="4" max="4" width="18" customWidth="1"/>
    <col min="5" max="8" width="12" customWidth="1"/>
    <col min="9" max="9" width="40" customWidth="1"/>
    <col min="10" max="10" width="12" customWidth="1"/>
    <col min="11" max="11" width="8" customWidth="1"/>
    <col min="12" max="12" width="17" customWidth="1"/>
    <col min="13" max="14" width="40" customWidth="1"/>
  </cols>
  <sheetData>
    <row r="1" spans="1:14" x14ac:dyDescent="0.3">
      <c r="A1" s="1" t="s">
        <v>226</v>
      </c>
    </row>
    <row r="2" spans="1:14" x14ac:dyDescent="0.3">
      <c r="A2" t="s">
        <v>0</v>
      </c>
    </row>
    <row r="3" spans="1:14" x14ac:dyDescent="0.3">
      <c r="A3" t="s">
        <v>1</v>
      </c>
      <c r="B3" t="s">
        <v>2</v>
      </c>
    </row>
    <row r="4" spans="1:14" x14ac:dyDescent="0.3">
      <c r="A4" t="s">
        <v>3</v>
      </c>
    </row>
    <row r="7" spans="1:14" ht="18" x14ac:dyDescent="0.35">
      <c r="B7" s="2" t="s">
        <v>4</v>
      </c>
    </row>
    <row r="9" spans="1:14" x14ac:dyDescent="0.3">
      <c r="A9" s="3" t="s">
        <v>5</v>
      </c>
      <c r="B9" s="3" t="s">
        <v>6</v>
      </c>
      <c r="C9" s="3" t="s">
        <v>7</v>
      </c>
      <c r="D9" s="3" t="s">
        <v>8</v>
      </c>
      <c r="E9" s="3" t="s">
        <v>9</v>
      </c>
      <c r="F9" s="3" t="s">
        <v>10</v>
      </c>
      <c r="G9" s="3" t="s">
        <v>11</v>
      </c>
      <c r="H9" s="3" t="s">
        <v>12</v>
      </c>
      <c r="I9" s="3" t="s">
        <v>13</v>
      </c>
      <c r="J9" s="3" t="s">
        <v>14</v>
      </c>
      <c r="K9" s="3" t="s">
        <v>15</v>
      </c>
      <c r="L9" s="3" t="s">
        <v>16</v>
      </c>
      <c r="M9" s="3" t="s">
        <v>17</v>
      </c>
    </row>
    <row r="10" spans="1:14" x14ac:dyDescent="0.3">
      <c r="A10" t="s">
        <v>18</v>
      </c>
      <c r="B10" t="s">
        <v>19</v>
      </c>
      <c r="C10" t="s">
        <v>20</v>
      </c>
      <c r="D10" t="s">
        <v>21</v>
      </c>
      <c r="E10">
        <v>4250</v>
      </c>
      <c r="F10">
        <v>4800</v>
      </c>
      <c r="G10">
        <v>5100</v>
      </c>
      <c r="H10">
        <v>5500</v>
      </c>
      <c r="I10">
        <f>SUM(E10:H10)</f>
        <v>19650</v>
      </c>
      <c r="K10">
        <v>18000</v>
      </c>
    </row>
    <row r="11" spans="1:14" x14ac:dyDescent="0.3">
      <c r="A11" t="s">
        <v>18</v>
      </c>
      <c r="B11" t="s">
        <v>19</v>
      </c>
      <c r="C11" t="s">
        <v>22</v>
      </c>
      <c r="D11" t="s">
        <v>21</v>
      </c>
      <c r="E11">
        <v>800</v>
      </c>
      <c r="F11">
        <v>750</v>
      </c>
      <c r="G11">
        <v>900</v>
      </c>
      <c r="H11">
        <v>1100</v>
      </c>
      <c r="I11">
        <f>SUM(E11:H11)</f>
        <v>3550</v>
      </c>
      <c r="K11">
        <v>3200</v>
      </c>
      <c r="M11" t="s">
        <v>23</v>
      </c>
    </row>
    <row r="12" spans="1:14" x14ac:dyDescent="0.3">
      <c r="A12" t="s">
        <v>18</v>
      </c>
      <c r="B12" t="s">
        <v>24</v>
      </c>
      <c r="C12" t="s">
        <v>20</v>
      </c>
      <c r="D12" t="s">
        <v>25</v>
      </c>
      <c r="E12">
        <v>1200</v>
      </c>
      <c r="F12">
        <v>1350</v>
      </c>
      <c r="G12">
        <v>1100</v>
      </c>
      <c r="H12">
        <v>1400</v>
      </c>
      <c r="I12">
        <f t="shared" ref="I11:I23" si="0">SUM(E12:H12)</f>
        <v>5050</v>
      </c>
      <c r="K12">
        <v>4800</v>
      </c>
      <c r="M12" t="s">
        <v>26</v>
      </c>
    </row>
    <row r="13" spans="1:14" x14ac:dyDescent="0.3">
      <c r="A13" t="s">
        <v>18</v>
      </c>
      <c r="B13" t="s">
        <v>24</v>
      </c>
      <c r="C13" t="s">
        <v>20</v>
      </c>
      <c r="D13" t="s">
        <v>27</v>
      </c>
      <c r="E13">
        <v>0</v>
      </c>
      <c r="F13">
        <v>0</v>
      </c>
      <c r="G13">
        <v>200</v>
      </c>
      <c r="H13">
        <v>350</v>
      </c>
      <c r="I13">
        <f t="shared" si="0"/>
        <v>550</v>
      </c>
      <c r="M13" t="s">
        <v>28</v>
      </c>
    </row>
    <row r="14" spans="1:14" x14ac:dyDescent="0.3">
      <c r="A14" t="s">
        <v>29</v>
      </c>
      <c r="B14" t="s">
        <v>19</v>
      </c>
      <c r="C14" t="s">
        <v>20</v>
      </c>
      <c r="D14" t="s">
        <v>30</v>
      </c>
      <c r="E14">
        <v>3800</v>
      </c>
      <c r="F14">
        <v>4100</v>
      </c>
      <c r="G14">
        <v>3900</v>
      </c>
      <c r="H14">
        <v>4600</v>
      </c>
      <c r="I14">
        <f t="shared" si="0"/>
        <v>16400</v>
      </c>
      <c r="K14">
        <v>16000</v>
      </c>
    </row>
    <row r="15" spans="1:14" x14ac:dyDescent="0.3">
      <c r="A15" t="s">
        <v>29</v>
      </c>
      <c r="B15" t="s">
        <v>19</v>
      </c>
      <c r="C15" t="s">
        <v>31</v>
      </c>
      <c r="D15" t="s">
        <v>30</v>
      </c>
      <c r="E15">
        <v>620</v>
      </c>
      <c r="F15">
        <v>580</v>
      </c>
      <c r="H15">
        <v>710</v>
      </c>
      <c r="I15">
        <f t="shared" si="0"/>
        <v>1910</v>
      </c>
      <c r="K15">
        <v>2400</v>
      </c>
      <c r="M15" t="s">
        <v>32</v>
      </c>
      <c r="N15" s="4" t="s">
        <v>33</v>
      </c>
    </row>
    <row r="16" spans="1:14" x14ac:dyDescent="0.3">
      <c r="A16" t="s">
        <v>29</v>
      </c>
      <c r="B16" t="s">
        <v>34</v>
      </c>
      <c r="C16" t="s">
        <v>20</v>
      </c>
      <c r="D16" t="s">
        <v>35</v>
      </c>
      <c r="E16">
        <v>980</v>
      </c>
      <c r="F16">
        <v>1020</v>
      </c>
      <c r="G16">
        <v>1050</v>
      </c>
      <c r="H16" t="s">
        <v>36</v>
      </c>
      <c r="I16" t="s">
        <v>225</v>
      </c>
      <c r="K16">
        <v>3900</v>
      </c>
      <c r="M16" t="s">
        <v>37</v>
      </c>
    </row>
    <row r="17" spans="1:13" x14ac:dyDescent="0.3">
      <c r="A17" t="s">
        <v>29</v>
      </c>
      <c r="B17" t="s">
        <v>34</v>
      </c>
      <c r="C17" t="s">
        <v>22</v>
      </c>
      <c r="D17" t="s">
        <v>35</v>
      </c>
      <c r="E17">
        <v>210</v>
      </c>
      <c r="F17">
        <v>190</v>
      </c>
      <c r="G17">
        <v>220</v>
      </c>
      <c r="H17">
        <v>180</v>
      </c>
      <c r="I17">
        <f t="shared" si="0"/>
        <v>800</v>
      </c>
      <c r="K17">
        <v>800</v>
      </c>
    </row>
    <row r="18" spans="1:13" x14ac:dyDescent="0.3">
      <c r="A18" t="s">
        <v>38</v>
      </c>
      <c r="B18" t="s">
        <v>19</v>
      </c>
      <c r="C18" t="s">
        <v>20</v>
      </c>
      <c r="D18" t="s">
        <v>39</v>
      </c>
      <c r="E18">
        <v>1500</v>
      </c>
      <c r="F18">
        <v>1600</v>
      </c>
      <c r="G18">
        <v>1550</v>
      </c>
      <c r="H18">
        <v>1800</v>
      </c>
      <c r="I18">
        <f t="shared" si="0"/>
        <v>6450</v>
      </c>
      <c r="K18">
        <v>6200</v>
      </c>
      <c r="M18" t="s">
        <v>40</v>
      </c>
    </row>
    <row r="19" spans="1:13" x14ac:dyDescent="0.3">
      <c r="A19" t="s">
        <v>38</v>
      </c>
      <c r="B19" t="s">
        <v>19</v>
      </c>
      <c r="C19" t="s">
        <v>31</v>
      </c>
      <c r="D19" t="s">
        <v>39</v>
      </c>
      <c r="E19">
        <v>340</v>
      </c>
      <c r="F19">
        <v>310</v>
      </c>
      <c r="G19">
        <v>290</v>
      </c>
      <c r="H19">
        <v>420</v>
      </c>
      <c r="I19">
        <f t="shared" si="0"/>
        <v>1360</v>
      </c>
      <c r="K19">
        <v>1300</v>
      </c>
      <c r="M19" t="s">
        <v>41</v>
      </c>
    </row>
    <row r="20" spans="1:13" x14ac:dyDescent="0.3">
      <c r="A20" t="s">
        <v>38</v>
      </c>
      <c r="B20" t="s">
        <v>24</v>
      </c>
      <c r="C20" t="s">
        <v>20</v>
      </c>
      <c r="D20" t="s">
        <v>42</v>
      </c>
      <c r="E20">
        <v>680</v>
      </c>
      <c r="F20">
        <v>720</v>
      </c>
      <c r="G20">
        <v>700</v>
      </c>
      <c r="H20">
        <v>810</v>
      </c>
      <c r="I20">
        <f t="shared" si="0"/>
        <v>2910</v>
      </c>
      <c r="K20">
        <v>2800</v>
      </c>
    </row>
    <row r="21" spans="1:13" x14ac:dyDescent="0.3">
      <c r="A21" t="s">
        <v>43</v>
      </c>
      <c r="B21" t="s">
        <v>19</v>
      </c>
      <c r="C21" t="s">
        <v>20</v>
      </c>
      <c r="D21" t="s">
        <v>44</v>
      </c>
      <c r="E21">
        <v>920</v>
      </c>
      <c r="F21">
        <v>980</v>
      </c>
      <c r="G21">
        <v>1010</v>
      </c>
      <c r="H21">
        <v>1200</v>
      </c>
      <c r="I21">
        <f t="shared" si="0"/>
        <v>4110</v>
      </c>
      <c r="K21">
        <v>3800</v>
      </c>
      <c r="M21" t="s">
        <v>45</v>
      </c>
    </row>
    <row r="22" spans="1:13" x14ac:dyDescent="0.3">
      <c r="A22" t="s">
        <v>43</v>
      </c>
      <c r="B22" t="s">
        <v>24</v>
      </c>
      <c r="C22" t="s">
        <v>20</v>
      </c>
      <c r="D22" t="s">
        <v>44</v>
      </c>
      <c r="E22">
        <v>310</v>
      </c>
      <c r="F22">
        <v>290</v>
      </c>
      <c r="G22">
        <v>280</v>
      </c>
      <c r="H22">
        <v>350</v>
      </c>
      <c r="I22">
        <f t="shared" si="0"/>
        <v>1230</v>
      </c>
      <c r="K22">
        <v>1100</v>
      </c>
    </row>
    <row r="23" spans="1:13" x14ac:dyDescent="0.3">
      <c r="A23" t="s">
        <v>43</v>
      </c>
      <c r="B23" t="s">
        <v>34</v>
      </c>
      <c r="C23" t="s">
        <v>20</v>
      </c>
      <c r="D23" t="s">
        <v>46</v>
      </c>
      <c r="E23">
        <v>150</v>
      </c>
      <c r="F23">
        <v>170</v>
      </c>
      <c r="G23">
        <v>160</v>
      </c>
      <c r="H23">
        <v>195</v>
      </c>
      <c r="I23">
        <f t="shared" si="0"/>
        <v>675</v>
      </c>
      <c r="K23">
        <v>600</v>
      </c>
      <c r="M23" t="s">
        <v>47</v>
      </c>
    </row>
    <row r="24" spans="1:13" x14ac:dyDescent="0.3">
      <c r="A24" s="14" t="s">
        <v>48</v>
      </c>
      <c r="B24" s="15"/>
      <c r="C24" s="15"/>
      <c r="D24" s="15"/>
      <c r="E24" s="16">
        <f>SUM(E10:E17)</f>
        <v>11860</v>
      </c>
      <c r="F24" s="16">
        <f>SUM(F10:F17)</f>
        <v>12790</v>
      </c>
      <c r="G24" s="16">
        <f>SUM(G10:G17)</f>
        <v>12470</v>
      </c>
      <c r="H24" t="s">
        <v>49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79998168889431442"/>
  </sheetPr>
  <dimension ref="A2:L30"/>
  <sheetViews>
    <sheetView zoomScale="85" zoomScaleNormal="85" workbookViewId="0"/>
  </sheetViews>
  <sheetFormatPr defaultRowHeight="14.4" x14ac:dyDescent="0.3"/>
  <cols>
    <col min="1" max="1" width="40" customWidth="1"/>
    <col min="2" max="2" width="12" customWidth="1"/>
    <col min="3" max="3" width="23" customWidth="1"/>
    <col min="4" max="4" width="21" customWidth="1"/>
    <col min="5" max="5" width="34" customWidth="1"/>
    <col min="6" max="8" width="11" customWidth="1"/>
    <col min="9" max="9" width="25" customWidth="1"/>
    <col min="10" max="10" width="12" customWidth="1"/>
    <col min="11" max="11" width="31" customWidth="1"/>
    <col min="12" max="12" width="40" customWidth="1"/>
  </cols>
  <sheetData>
    <row r="2" spans="1:12" ht="17.399999999999999" x14ac:dyDescent="0.35">
      <c r="C2" s="5" t="s">
        <v>50</v>
      </c>
    </row>
    <row r="3" spans="1:12" x14ac:dyDescent="0.3">
      <c r="A3" t="s">
        <v>51</v>
      </c>
    </row>
    <row r="4" spans="1:12" x14ac:dyDescent="0.3">
      <c r="A4" t="s">
        <v>52</v>
      </c>
      <c r="E4" t="s">
        <v>53</v>
      </c>
    </row>
    <row r="5" spans="1:12" x14ac:dyDescent="0.3">
      <c r="A5" t="s">
        <v>54</v>
      </c>
    </row>
    <row r="7" spans="1:12" x14ac:dyDescent="0.3">
      <c r="A7" s="6" t="s">
        <v>55</v>
      </c>
      <c r="B7" s="6" t="s">
        <v>56</v>
      </c>
      <c r="C7" s="6" t="s">
        <v>57</v>
      </c>
      <c r="D7" s="6" t="s">
        <v>58</v>
      </c>
      <c r="E7" s="6" t="s">
        <v>59</v>
      </c>
      <c r="F7" s="6" t="s">
        <v>60</v>
      </c>
      <c r="G7" s="6" t="s">
        <v>61</v>
      </c>
      <c r="H7" s="6" t="s">
        <v>62</v>
      </c>
      <c r="I7" s="6" t="s">
        <v>63</v>
      </c>
      <c r="J7" s="6" t="s">
        <v>64</v>
      </c>
      <c r="K7" s="6" t="s">
        <v>65</v>
      </c>
      <c r="L7" s="6" t="s">
        <v>66</v>
      </c>
    </row>
    <row r="8" spans="1:12" x14ac:dyDescent="0.3">
      <c r="A8" t="s">
        <v>67</v>
      </c>
      <c r="B8" t="s">
        <v>19</v>
      </c>
      <c r="C8" t="s">
        <v>68</v>
      </c>
      <c r="D8" t="s">
        <v>69</v>
      </c>
      <c r="E8">
        <v>3200</v>
      </c>
      <c r="F8">
        <v>3800</v>
      </c>
      <c r="G8">
        <f t="shared" ref="G8:G24" si="0">E8+F8</f>
        <v>7000</v>
      </c>
      <c r="H8">
        <v>7000</v>
      </c>
      <c r="I8">
        <f t="shared" ref="I8:I24" si="1">IFERROR(G8/H8,"N/A")</f>
        <v>1</v>
      </c>
      <c r="J8">
        <v>6100</v>
      </c>
      <c r="K8">
        <f t="shared" ref="K8:K24" si="2">IFERROR((G8-J8)/J8,"N/A")</f>
        <v>0.14754098360655737</v>
      </c>
      <c r="L8" t="s">
        <v>70</v>
      </c>
    </row>
    <row r="9" spans="1:12" x14ac:dyDescent="0.3">
      <c r="A9" t="s">
        <v>67</v>
      </c>
      <c r="B9" t="s">
        <v>24</v>
      </c>
      <c r="C9" t="s">
        <v>71</v>
      </c>
      <c r="D9" t="s">
        <v>69</v>
      </c>
      <c r="E9">
        <v>1100</v>
      </c>
      <c r="F9">
        <v>1250</v>
      </c>
      <c r="G9">
        <f t="shared" si="0"/>
        <v>2350</v>
      </c>
      <c r="H9">
        <v>2350</v>
      </c>
      <c r="I9">
        <f t="shared" si="1"/>
        <v>1</v>
      </c>
      <c r="J9">
        <v>2100</v>
      </c>
      <c r="K9">
        <f t="shared" si="2"/>
        <v>0.11904761904761904</v>
      </c>
      <c r="L9" t="s">
        <v>72</v>
      </c>
    </row>
    <row r="10" spans="1:12" x14ac:dyDescent="0.3">
      <c r="A10" t="s">
        <v>67</v>
      </c>
      <c r="B10" t="s">
        <v>34</v>
      </c>
      <c r="C10" t="s">
        <v>73</v>
      </c>
      <c r="D10" t="s">
        <v>74</v>
      </c>
      <c r="E10">
        <v>680</v>
      </c>
      <c r="F10">
        <v>720</v>
      </c>
      <c r="G10">
        <f t="shared" si="0"/>
        <v>1400</v>
      </c>
      <c r="H10">
        <v>1400</v>
      </c>
      <c r="I10">
        <f t="shared" si="1"/>
        <v>1</v>
      </c>
      <c r="J10">
        <v>1200</v>
      </c>
      <c r="K10">
        <f t="shared" si="2"/>
        <v>0.16666666666666666</v>
      </c>
    </row>
    <row r="11" spans="1:12" x14ac:dyDescent="0.3">
      <c r="A11" t="s">
        <v>75</v>
      </c>
      <c r="B11" t="s">
        <v>19</v>
      </c>
      <c r="C11" t="s">
        <v>68</v>
      </c>
      <c r="D11" t="s">
        <v>76</v>
      </c>
      <c r="E11">
        <v>4100</v>
      </c>
      <c r="F11">
        <v>4600</v>
      </c>
      <c r="G11">
        <f t="shared" si="0"/>
        <v>8700</v>
      </c>
      <c r="H11">
        <v>8700</v>
      </c>
      <c r="I11">
        <f t="shared" si="1"/>
        <v>1</v>
      </c>
      <c r="J11">
        <v>7900</v>
      </c>
      <c r="K11">
        <f t="shared" si="2"/>
        <v>0.10126582278481013</v>
      </c>
    </row>
    <row r="12" spans="1:12" x14ac:dyDescent="0.3">
      <c r="A12" t="s">
        <v>75</v>
      </c>
      <c r="B12" t="s">
        <v>19</v>
      </c>
      <c r="C12" t="s">
        <v>68</v>
      </c>
      <c r="D12" t="s">
        <v>76</v>
      </c>
      <c r="E12">
        <v>200</v>
      </c>
      <c r="F12">
        <v>180</v>
      </c>
      <c r="G12">
        <f t="shared" si="0"/>
        <v>380</v>
      </c>
      <c r="H12">
        <v>380</v>
      </c>
      <c r="I12">
        <f t="shared" si="1"/>
        <v>1</v>
      </c>
      <c r="K12" t="str">
        <f t="shared" si="2"/>
        <v>N/A</v>
      </c>
      <c r="L12" t="s">
        <v>77</v>
      </c>
    </row>
    <row r="13" spans="1:12" x14ac:dyDescent="0.3">
      <c r="A13" t="s">
        <v>75</v>
      </c>
      <c r="B13" t="s">
        <v>24</v>
      </c>
      <c r="C13" t="s">
        <v>71</v>
      </c>
      <c r="D13" t="s">
        <v>78</v>
      </c>
      <c r="E13">
        <v>1800</v>
      </c>
      <c r="F13">
        <v>1950</v>
      </c>
      <c r="G13">
        <f t="shared" si="0"/>
        <v>3750</v>
      </c>
      <c r="H13">
        <v>3750</v>
      </c>
      <c r="I13">
        <f t="shared" si="1"/>
        <v>1</v>
      </c>
      <c r="J13">
        <v>3200</v>
      </c>
      <c r="K13">
        <f t="shared" si="2"/>
        <v>0.171875</v>
      </c>
      <c r="L13" t="s">
        <v>79</v>
      </c>
    </row>
    <row r="14" spans="1:12" x14ac:dyDescent="0.3">
      <c r="A14" t="s">
        <v>80</v>
      </c>
      <c r="B14" t="s">
        <v>19</v>
      </c>
      <c r="C14" t="s">
        <v>68</v>
      </c>
      <c r="D14" t="s">
        <v>81</v>
      </c>
      <c r="E14">
        <v>2900</v>
      </c>
      <c r="F14">
        <v>3100</v>
      </c>
      <c r="G14">
        <f t="shared" si="0"/>
        <v>6000</v>
      </c>
      <c r="H14">
        <v>6000</v>
      </c>
      <c r="I14">
        <f t="shared" si="1"/>
        <v>1</v>
      </c>
      <c r="J14">
        <v>5500</v>
      </c>
      <c r="K14">
        <f t="shared" si="2"/>
        <v>9.0909090909090912E-2</v>
      </c>
    </row>
    <row r="15" spans="1:12" x14ac:dyDescent="0.3">
      <c r="A15" t="s">
        <v>80</v>
      </c>
      <c r="B15" t="s">
        <v>24</v>
      </c>
      <c r="C15" t="s">
        <v>71</v>
      </c>
      <c r="D15" t="s">
        <v>81</v>
      </c>
      <c r="E15">
        <v>950</v>
      </c>
      <c r="F15">
        <v>1000</v>
      </c>
      <c r="G15">
        <f t="shared" si="0"/>
        <v>1950</v>
      </c>
      <c r="H15">
        <v>1950</v>
      </c>
      <c r="I15">
        <f t="shared" si="1"/>
        <v>1</v>
      </c>
      <c r="J15">
        <v>1700</v>
      </c>
      <c r="K15">
        <f t="shared" si="2"/>
        <v>0.14705882352941177</v>
      </c>
    </row>
    <row r="16" spans="1:12" x14ac:dyDescent="0.3">
      <c r="A16" t="s">
        <v>80</v>
      </c>
      <c r="B16" t="s">
        <v>34</v>
      </c>
      <c r="C16" t="s">
        <v>73</v>
      </c>
      <c r="D16" t="s">
        <v>82</v>
      </c>
      <c r="E16">
        <v>420</v>
      </c>
      <c r="F16">
        <v>390</v>
      </c>
      <c r="G16">
        <f t="shared" si="0"/>
        <v>810</v>
      </c>
      <c r="H16">
        <v>810</v>
      </c>
      <c r="I16">
        <f t="shared" si="1"/>
        <v>1</v>
      </c>
      <c r="J16">
        <v>780</v>
      </c>
      <c r="K16">
        <f t="shared" si="2"/>
        <v>3.8461538461538464E-2</v>
      </c>
      <c r="L16" t="s">
        <v>83</v>
      </c>
    </row>
    <row r="17" spans="1:12" x14ac:dyDescent="0.3">
      <c r="A17" t="s">
        <v>84</v>
      </c>
      <c r="B17" t="s">
        <v>19</v>
      </c>
      <c r="C17" t="s">
        <v>68</v>
      </c>
      <c r="D17" t="s">
        <v>85</v>
      </c>
      <c r="E17">
        <v>1600</v>
      </c>
      <c r="F17">
        <v>1750</v>
      </c>
      <c r="G17">
        <f t="shared" si="0"/>
        <v>3350</v>
      </c>
      <c r="H17">
        <v>3350</v>
      </c>
      <c r="I17">
        <f t="shared" si="1"/>
        <v>1</v>
      </c>
      <c r="J17">
        <v>2900</v>
      </c>
      <c r="K17">
        <f t="shared" si="2"/>
        <v>0.15517241379310345</v>
      </c>
    </row>
    <row r="18" spans="1:12" x14ac:dyDescent="0.3">
      <c r="A18" t="s">
        <v>84</v>
      </c>
      <c r="B18" t="s">
        <v>24</v>
      </c>
      <c r="C18" t="s">
        <v>71</v>
      </c>
      <c r="D18" t="s">
        <v>85</v>
      </c>
      <c r="E18">
        <v>580</v>
      </c>
      <c r="F18">
        <v>620</v>
      </c>
      <c r="G18">
        <f t="shared" si="0"/>
        <v>1200</v>
      </c>
      <c r="H18">
        <v>1200</v>
      </c>
      <c r="I18">
        <f t="shared" si="1"/>
        <v>1</v>
      </c>
      <c r="J18">
        <v>1050</v>
      </c>
      <c r="K18">
        <f t="shared" si="2"/>
        <v>0.14285714285714285</v>
      </c>
    </row>
    <row r="19" spans="1:12" x14ac:dyDescent="0.3">
      <c r="A19" t="s">
        <v>86</v>
      </c>
      <c r="B19" t="s">
        <v>19</v>
      </c>
      <c r="C19" t="s">
        <v>68</v>
      </c>
      <c r="D19" t="s">
        <v>87</v>
      </c>
      <c r="E19">
        <v>1100</v>
      </c>
      <c r="F19">
        <v>1200</v>
      </c>
      <c r="G19">
        <f t="shared" si="0"/>
        <v>2300</v>
      </c>
      <c r="H19">
        <v>2300</v>
      </c>
      <c r="I19">
        <f t="shared" si="1"/>
        <v>1</v>
      </c>
      <c r="J19">
        <v>2000</v>
      </c>
      <c r="K19">
        <f t="shared" si="2"/>
        <v>0.15</v>
      </c>
      <c r="L19" t="s">
        <v>88</v>
      </c>
    </row>
    <row r="20" spans="1:12" x14ac:dyDescent="0.3">
      <c r="A20" t="s">
        <v>86</v>
      </c>
      <c r="B20" t="s">
        <v>24</v>
      </c>
      <c r="C20" t="s">
        <v>71</v>
      </c>
      <c r="D20" t="s">
        <v>89</v>
      </c>
      <c r="E20">
        <v>490</v>
      </c>
      <c r="F20">
        <v>510</v>
      </c>
      <c r="G20">
        <f t="shared" si="0"/>
        <v>1000</v>
      </c>
      <c r="H20">
        <v>1000</v>
      </c>
      <c r="I20">
        <f t="shared" si="1"/>
        <v>1</v>
      </c>
      <c r="J20">
        <v>880</v>
      </c>
      <c r="K20">
        <f t="shared" si="2"/>
        <v>0.13636363636363635</v>
      </c>
    </row>
    <row r="21" spans="1:12" x14ac:dyDescent="0.3">
      <c r="A21" t="s">
        <v>90</v>
      </c>
      <c r="B21" t="s">
        <v>19</v>
      </c>
      <c r="C21" t="s">
        <v>68</v>
      </c>
      <c r="D21" t="s">
        <v>91</v>
      </c>
      <c r="E21">
        <v>2200</v>
      </c>
      <c r="F21">
        <v>2400</v>
      </c>
      <c r="G21">
        <f t="shared" si="0"/>
        <v>4600</v>
      </c>
      <c r="H21">
        <v>4600</v>
      </c>
      <c r="I21">
        <f t="shared" si="1"/>
        <v>1</v>
      </c>
      <c r="J21">
        <v>4100</v>
      </c>
      <c r="K21">
        <f t="shared" si="2"/>
        <v>0.12195121951219512</v>
      </c>
      <c r="L21" t="s">
        <v>92</v>
      </c>
    </row>
    <row r="22" spans="1:12" x14ac:dyDescent="0.3">
      <c r="A22" t="s">
        <v>93</v>
      </c>
      <c r="B22" t="s">
        <v>19</v>
      </c>
      <c r="C22" t="s">
        <v>71</v>
      </c>
      <c r="D22" t="s">
        <v>94</v>
      </c>
      <c r="E22">
        <v>800</v>
      </c>
      <c r="F22">
        <v>950</v>
      </c>
      <c r="G22">
        <f t="shared" si="0"/>
        <v>1750</v>
      </c>
      <c r="H22">
        <v>1750</v>
      </c>
      <c r="I22">
        <f t="shared" si="1"/>
        <v>1</v>
      </c>
      <c r="J22">
        <v>1200</v>
      </c>
      <c r="K22">
        <f t="shared" si="2"/>
        <v>0.45833333333333331</v>
      </c>
      <c r="L22" t="s">
        <v>95</v>
      </c>
    </row>
    <row r="23" spans="1:12" x14ac:dyDescent="0.3">
      <c r="A23" t="s">
        <v>93</v>
      </c>
      <c r="B23" t="s">
        <v>24</v>
      </c>
      <c r="C23" t="s">
        <v>71</v>
      </c>
      <c r="D23" t="s">
        <v>94</v>
      </c>
      <c r="E23">
        <v>320</v>
      </c>
      <c r="F23">
        <v>280</v>
      </c>
      <c r="G23">
        <f t="shared" si="0"/>
        <v>600</v>
      </c>
      <c r="H23">
        <v>600</v>
      </c>
      <c r="I23">
        <f t="shared" si="1"/>
        <v>1</v>
      </c>
      <c r="J23">
        <v>500</v>
      </c>
      <c r="K23">
        <f t="shared" si="2"/>
        <v>0.2</v>
      </c>
      <c r="L23" t="s">
        <v>96</v>
      </c>
    </row>
    <row r="24" spans="1:12" x14ac:dyDescent="0.3">
      <c r="A24" t="s">
        <v>97</v>
      </c>
      <c r="B24" t="s">
        <v>19</v>
      </c>
      <c r="C24" t="s">
        <v>71</v>
      </c>
      <c r="D24" t="s">
        <v>98</v>
      </c>
      <c r="E24">
        <v>410</v>
      </c>
      <c r="F24">
        <v>390</v>
      </c>
      <c r="G24">
        <f t="shared" si="0"/>
        <v>800</v>
      </c>
      <c r="H24">
        <v>800</v>
      </c>
      <c r="I24">
        <f t="shared" si="1"/>
        <v>1</v>
      </c>
      <c r="J24">
        <v>650</v>
      </c>
      <c r="K24">
        <f t="shared" si="2"/>
        <v>0.23076923076923078</v>
      </c>
      <c r="L24" t="s">
        <v>99</v>
      </c>
    </row>
    <row r="28" spans="1:12" x14ac:dyDescent="0.3">
      <c r="A28" s="7" t="s">
        <v>100</v>
      </c>
    </row>
    <row r="29" spans="1:12" x14ac:dyDescent="0.3">
      <c r="A29" t="s">
        <v>75</v>
      </c>
      <c r="E29">
        <v>3800</v>
      </c>
      <c r="F29">
        <v>4100</v>
      </c>
    </row>
    <row r="30" spans="1:12" x14ac:dyDescent="0.3">
      <c r="A30" t="s">
        <v>80</v>
      </c>
      <c r="E30">
        <v>2700</v>
      </c>
      <c r="F30">
        <v>2900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79998168889431442"/>
  </sheetPr>
  <dimension ref="A1:M27"/>
  <sheetViews>
    <sheetView workbookViewId="0"/>
  </sheetViews>
  <sheetFormatPr defaultRowHeight="14.4" x14ac:dyDescent="0.3"/>
  <cols>
    <col min="1" max="1" width="40" customWidth="1"/>
    <col min="2" max="2" width="16" customWidth="1"/>
    <col min="3" max="3" width="40" customWidth="1"/>
    <col min="4" max="4" width="15" customWidth="1"/>
    <col min="5" max="8" width="9" customWidth="1"/>
    <col min="9" max="9" width="35" customWidth="1"/>
    <col min="10" max="10" width="13" customWidth="1"/>
    <col min="11" max="11" width="25" customWidth="1"/>
    <col min="12" max="12" width="16" customWidth="1"/>
    <col min="13" max="13" width="40" customWidth="1"/>
  </cols>
  <sheetData>
    <row r="1" spans="1:13" ht="15.6" x14ac:dyDescent="0.3">
      <c r="A1" s="8" t="s">
        <v>101</v>
      </c>
    </row>
    <row r="2" spans="1:13" x14ac:dyDescent="0.3">
      <c r="A2" t="s">
        <v>102</v>
      </c>
      <c r="B2" t="s">
        <v>103</v>
      </c>
    </row>
    <row r="3" spans="1:13" x14ac:dyDescent="0.3">
      <c r="A3" t="s">
        <v>104</v>
      </c>
      <c r="C3" t="s">
        <v>105</v>
      </c>
    </row>
    <row r="4" spans="1:13" x14ac:dyDescent="0.3">
      <c r="A4" t="s">
        <v>106</v>
      </c>
    </row>
    <row r="6" spans="1:13" x14ac:dyDescent="0.3">
      <c r="A6" s="9" t="s">
        <v>107</v>
      </c>
      <c r="B6" s="9" t="s">
        <v>108</v>
      </c>
      <c r="C6" s="9" t="s">
        <v>109</v>
      </c>
      <c r="D6" s="9" t="s">
        <v>110</v>
      </c>
      <c r="E6" s="9" t="s">
        <v>111</v>
      </c>
      <c r="F6" s="9" t="s">
        <v>112</v>
      </c>
      <c r="G6" s="9" t="s">
        <v>113</v>
      </c>
      <c r="H6" s="9" t="s">
        <v>114</v>
      </c>
      <c r="I6" s="9" t="s">
        <v>115</v>
      </c>
      <c r="J6" s="9" t="s">
        <v>116</v>
      </c>
      <c r="K6" s="9" t="s">
        <v>117</v>
      </c>
      <c r="L6" s="9" t="s">
        <v>118</v>
      </c>
      <c r="M6" s="9" t="s">
        <v>119</v>
      </c>
    </row>
    <row r="7" spans="1:13" x14ac:dyDescent="0.3">
      <c r="A7" t="s">
        <v>120</v>
      </c>
      <c r="B7" t="s">
        <v>121</v>
      </c>
      <c r="C7" t="s">
        <v>122</v>
      </c>
      <c r="D7" t="s">
        <v>123</v>
      </c>
      <c r="E7">
        <v>2100</v>
      </c>
      <c r="F7">
        <v>2300</v>
      </c>
      <c r="G7">
        <v>2200</v>
      </c>
      <c r="H7">
        <v>2600</v>
      </c>
      <c r="I7">
        <f t="shared" ref="I7:I22" si="0">IFERROR(E7+F7+G7+H7,"CHECK")</f>
        <v>9200</v>
      </c>
      <c r="J7">
        <v>8800</v>
      </c>
      <c r="K7">
        <f t="shared" ref="K7:K22" si="1">IFERROR(I7-J7,"N/A")</f>
        <v>400</v>
      </c>
      <c r="L7" t="s">
        <v>124</v>
      </c>
    </row>
    <row r="8" spans="1:13" x14ac:dyDescent="0.3">
      <c r="A8" t="s">
        <v>120</v>
      </c>
      <c r="B8" t="s">
        <v>121</v>
      </c>
      <c r="C8" t="s">
        <v>125</v>
      </c>
      <c r="D8" t="s">
        <v>126</v>
      </c>
      <c r="E8">
        <v>1400</v>
      </c>
      <c r="F8">
        <v>1500</v>
      </c>
      <c r="G8">
        <v>1450</v>
      </c>
      <c r="H8">
        <v>1600</v>
      </c>
      <c r="I8">
        <f t="shared" si="0"/>
        <v>5950</v>
      </c>
      <c r="J8">
        <v>5800</v>
      </c>
      <c r="K8">
        <f t="shared" si="1"/>
        <v>150</v>
      </c>
      <c r="L8" t="s">
        <v>124</v>
      </c>
    </row>
    <row r="9" spans="1:13" x14ac:dyDescent="0.3">
      <c r="A9" t="s">
        <v>120</v>
      </c>
      <c r="B9" t="s">
        <v>121</v>
      </c>
      <c r="C9" t="s">
        <v>127</v>
      </c>
      <c r="D9" t="s">
        <v>126</v>
      </c>
      <c r="E9">
        <v>800</v>
      </c>
      <c r="F9">
        <v>850</v>
      </c>
      <c r="G9">
        <v>820</v>
      </c>
      <c r="H9">
        <v>950</v>
      </c>
      <c r="I9">
        <f t="shared" si="0"/>
        <v>3420</v>
      </c>
      <c r="J9">
        <v>3200</v>
      </c>
      <c r="K9">
        <f t="shared" si="1"/>
        <v>220</v>
      </c>
      <c r="L9" t="s">
        <v>124</v>
      </c>
      <c r="M9" t="s">
        <v>128</v>
      </c>
    </row>
    <row r="10" spans="1:13" x14ac:dyDescent="0.3">
      <c r="A10" t="s">
        <v>129</v>
      </c>
      <c r="B10" t="s">
        <v>130</v>
      </c>
      <c r="C10" t="s">
        <v>122</v>
      </c>
      <c r="D10" t="s">
        <v>131</v>
      </c>
      <c r="E10">
        <v>3200</v>
      </c>
      <c r="F10">
        <v>3500</v>
      </c>
      <c r="G10">
        <v>3100</v>
      </c>
      <c r="H10">
        <v>3800</v>
      </c>
      <c r="I10">
        <f t="shared" si="0"/>
        <v>13600</v>
      </c>
      <c r="J10">
        <v>13000</v>
      </c>
      <c r="K10">
        <f t="shared" si="1"/>
        <v>600</v>
      </c>
      <c r="L10" t="s">
        <v>132</v>
      </c>
      <c r="M10" t="s">
        <v>133</v>
      </c>
    </row>
    <row r="11" spans="1:13" x14ac:dyDescent="0.3">
      <c r="A11" t="s">
        <v>129</v>
      </c>
      <c r="B11" t="s">
        <v>130</v>
      </c>
      <c r="C11" t="s">
        <v>127</v>
      </c>
      <c r="D11" t="s">
        <v>134</v>
      </c>
      <c r="E11">
        <v>2100</v>
      </c>
      <c r="F11">
        <v>2200</v>
      </c>
      <c r="G11">
        <v>2000</v>
      </c>
      <c r="H11" t="s">
        <v>135</v>
      </c>
      <c r="I11" t="str">
        <f t="shared" si="0"/>
        <v>CHECK</v>
      </c>
      <c r="J11">
        <v>8200</v>
      </c>
      <c r="K11" t="str">
        <f t="shared" si="1"/>
        <v>N/A</v>
      </c>
      <c r="L11" t="s">
        <v>132</v>
      </c>
      <c r="M11" t="s">
        <v>136</v>
      </c>
    </row>
    <row r="12" spans="1:13" x14ac:dyDescent="0.3">
      <c r="A12" t="s">
        <v>129</v>
      </c>
      <c r="B12" t="s">
        <v>130</v>
      </c>
      <c r="C12" t="s">
        <v>137</v>
      </c>
      <c r="D12" t="s">
        <v>134</v>
      </c>
      <c r="E12">
        <v>500</v>
      </c>
      <c r="F12">
        <v>0</v>
      </c>
      <c r="G12">
        <v>0</v>
      </c>
      <c r="H12">
        <v>0</v>
      </c>
      <c r="I12">
        <f t="shared" si="0"/>
        <v>500</v>
      </c>
      <c r="J12">
        <v>2000</v>
      </c>
      <c r="K12">
        <f t="shared" si="1"/>
        <v>-1500</v>
      </c>
      <c r="L12" t="s">
        <v>138</v>
      </c>
      <c r="M12" t="s">
        <v>139</v>
      </c>
    </row>
    <row r="13" spans="1:13" x14ac:dyDescent="0.3">
      <c r="A13" t="s">
        <v>140</v>
      </c>
      <c r="B13" t="s">
        <v>141</v>
      </c>
      <c r="C13" t="s">
        <v>142</v>
      </c>
      <c r="D13" t="s">
        <v>143</v>
      </c>
      <c r="E13">
        <v>1800</v>
      </c>
      <c r="F13">
        <v>1900</v>
      </c>
      <c r="G13">
        <v>1850</v>
      </c>
      <c r="H13">
        <v>2100</v>
      </c>
      <c r="I13">
        <f t="shared" si="0"/>
        <v>7650</v>
      </c>
      <c r="J13">
        <v>7200</v>
      </c>
      <c r="K13">
        <f t="shared" si="1"/>
        <v>450</v>
      </c>
      <c r="L13" t="s">
        <v>144</v>
      </c>
    </row>
    <row r="14" spans="1:13" x14ac:dyDescent="0.3">
      <c r="A14" t="s">
        <v>140</v>
      </c>
      <c r="B14" t="s">
        <v>141</v>
      </c>
      <c r="C14" t="s">
        <v>142</v>
      </c>
      <c r="D14" t="s">
        <v>143</v>
      </c>
      <c r="E14">
        <v>200</v>
      </c>
      <c r="F14">
        <v>180</v>
      </c>
      <c r="G14">
        <v>160</v>
      </c>
      <c r="H14">
        <v>140</v>
      </c>
      <c r="I14">
        <f t="shared" si="0"/>
        <v>680</v>
      </c>
      <c r="K14">
        <f t="shared" si="1"/>
        <v>680</v>
      </c>
      <c r="L14" t="s">
        <v>145</v>
      </c>
      <c r="M14" t="s">
        <v>146</v>
      </c>
    </row>
    <row r="15" spans="1:13" x14ac:dyDescent="0.3">
      <c r="A15" t="s">
        <v>147</v>
      </c>
      <c r="B15" t="s">
        <v>141</v>
      </c>
      <c r="C15" t="s">
        <v>142</v>
      </c>
      <c r="D15" t="s">
        <v>143</v>
      </c>
      <c r="E15">
        <v>310</v>
      </c>
      <c r="F15">
        <v>290</v>
      </c>
      <c r="G15">
        <v>300</v>
      </c>
      <c r="H15">
        <v>340</v>
      </c>
      <c r="I15">
        <f t="shared" si="0"/>
        <v>1240</v>
      </c>
      <c r="J15">
        <v>1100</v>
      </c>
      <c r="K15">
        <f t="shared" si="1"/>
        <v>140</v>
      </c>
      <c r="L15" t="s">
        <v>148</v>
      </c>
      <c r="M15" t="s">
        <v>149</v>
      </c>
    </row>
    <row r="16" spans="1:13" x14ac:dyDescent="0.3">
      <c r="A16" t="s">
        <v>150</v>
      </c>
      <c r="B16" t="s">
        <v>151</v>
      </c>
      <c r="C16" t="s">
        <v>122</v>
      </c>
      <c r="D16" t="s">
        <v>152</v>
      </c>
      <c r="E16">
        <v>1200</v>
      </c>
      <c r="F16">
        <v>1300</v>
      </c>
      <c r="G16">
        <v>1250</v>
      </c>
      <c r="H16">
        <v>1400</v>
      </c>
      <c r="I16">
        <f t="shared" si="0"/>
        <v>5150</v>
      </c>
      <c r="J16">
        <v>4800</v>
      </c>
      <c r="K16">
        <f t="shared" si="1"/>
        <v>350</v>
      </c>
      <c r="L16" t="s">
        <v>153</v>
      </c>
    </row>
    <row r="17" spans="1:13" x14ac:dyDescent="0.3">
      <c r="A17" t="s">
        <v>150</v>
      </c>
      <c r="B17" t="s">
        <v>151</v>
      </c>
      <c r="C17" t="s">
        <v>127</v>
      </c>
      <c r="D17" t="s">
        <v>152</v>
      </c>
      <c r="E17">
        <v>680</v>
      </c>
      <c r="F17">
        <v>720</v>
      </c>
      <c r="G17">
        <v>700</v>
      </c>
      <c r="H17">
        <v>790</v>
      </c>
      <c r="I17">
        <f t="shared" si="0"/>
        <v>2890</v>
      </c>
      <c r="J17">
        <v>2600</v>
      </c>
      <c r="K17">
        <f t="shared" si="1"/>
        <v>290</v>
      </c>
      <c r="L17" t="s">
        <v>153</v>
      </c>
    </row>
    <row r="18" spans="1:13" x14ac:dyDescent="0.3">
      <c r="A18" t="s">
        <v>154</v>
      </c>
      <c r="B18" t="s">
        <v>155</v>
      </c>
      <c r="C18" t="s">
        <v>127</v>
      </c>
      <c r="D18" t="s">
        <v>156</v>
      </c>
      <c r="E18">
        <v>950</v>
      </c>
      <c r="F18">
        <v>1050</v>
      </c>
      <c r="G18">
        <v>980</v>
      </c>
      <c r="H18">
        <v>1150</v>
      </c>
      <c r="I18">
        <f t="shared" si="0"/>
        <v>4130</v>
      </c>
      <c r="J18">
        <v>3800</v>
      </c>
      <c r="K18">
        <f t="shared" si="1"/>
        <v>330</v>
      </c>
      <c r="L18" t="s">
        <v>157</v>
      </c>
    </row>
    <row r="19" spans="1:13" x14ac:dyDescent="0.3">
      <c r="A19" t="s">
        <v>154</v>
      </c>
      <c r="B19" t="s">
        <v>155</v>
      </c>
      <c r="C19" t="s">
        <v>122</v>
      </c>
      <c r="D19" t="s">
        <v>156</v>
      </c>
      <c r="E19">
        <v>420</v>
      </c>
      <c r="F19">
        <v>460</v>
      </c>
      <c r="G19">
        <v>440</v>
      </c>
      <c r="H19">
        <v>510</v>
      </c>
      <c r="I19">
        <f t="shared" si="0"/>
        <v>1830</v>
      </c>
      <c r="J19">
        <v>1700</v>
      </c>
      <c r="K19">
        <f t="shared" si="1"/>
        <v>130</v>
      </c>
      <c r="L19" t="s">
        <v>157</v>
      </c>
    </row>
    <row r="20" spans="1:13" x14ac:dyDescent="0.3">
      <c r="A20" t="s">
        <v>154</v>
      </c>
      <c r="B20" t="s">
        <v>155</v>
      </c>
      <c r="C20" t="s">
        <v>125</v>
      </c>
      <c r="D20" t="s">
        <v>158</v>
      </c>
      <c r="E20">
        <v>280</v>
      </c>
      <c r="F20">
        <v>310</v>
      </c>
      <c r="G20">
        <v>290</v>
      </c>
      <c r="H20">
        <v>330</v>
      </c>
      <c r="I20">
        <f t="shared" si="0"/>
        <v>1210</v>
      </c>
      <c r="J20">
        <v>1100</v>
      </c>
      <c r="K20">
        <f t="shared" si="1"/>
        <v>110</v>
      </c>
      <c r="L20" t="s">
        <v>157</v>
      </c>
      <c r="M20" t="s">
        <v>159</v>
      </c>
    </row>
    <row r="21" spans="1:13" x14ac:dyDescent="0.3">
      <c r="A21" t="s">
        <v>160</v>
      </c>
      <c r="B21" t="s">
        <v>121</v>
      </c>
      <c r="C21" t="s">
        <v>127</v>
      </c>
      <c r="D21" t="s">
        <v>161</v>
      </c>
      <c r="E21">
        <v>1100</v>
      </c>
      <c r="F21">
        <v>1200</v>
      </c>
      <c r="G21">
        <v>1150</v>
      </c>
      <c r="H21">
        <v>1300</v>
      </c>
      <c r="I21">
        <f t="shared" si="0"/>
        <v>4750</v>
      </c>
      <c r="J21">
        <v>4500</v>
      </c>
      <c r="K21">
        <f t="shared" si="1"/>
        <v>250</v>
      </c>
      <c r="L21" t="s">
        <v>162</v>
      </c>
    </row>
    <row r="22" spans="1:13" x14ac:dyDescent="0.3">
      <c r="A22" t="s">
        <v>163</v>
      </c>
      <c r="B22" t="s">
        <v>151</v>
      </c>
      <c r="C22" t="s">
        <v>164</v>
      </c>
      <c r="D22" t="s">
        <v>165</v>
      </c>
      <c r="E22">
        <v>890</v>
      </c>
      <c r="F22">
        <v>920</v>
      </c>
      <c r="G22">
        <v>860</v>
      </c>
      <c r="H22">
        <v>1010</v>
      </c>
      <c r="I22">
        <f t="shared" si="0"/>
        <v>3680</v>
      </c>
      <c r="J22">
        <v>3400</v>
      </c>
      <c r="K22">
        <f t="shared" si="1"/>
        <v>280</v>
      </c>
      <c r="L22" t="s">
        <v>96</v>
      </c>
      <c r="M22" t="s">
        <v>166</v>
      </c>
    </row>
    <row r="26" spans="1:13" x14ac:dyDescent="0.3">
      <c r="A26" s="10" t="s">
        <v>167</v>
      </c>
    </row>
    <row r="27" spans="1:13" x14ac:dyDescent="0.3">
      <c r="A27" s="10" t="s">
        <v>168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FF1DA-010A-4EE9-8147-029B08EB8E30}">
  <sheetPr>
    <tabColor theme="3" tint="0.79998168889431442"/>
  </sheetPr>
  <dimension ref="B2:S16"/>
  <sheetViews>
    <sheetView zoomScaleNormal="100" workbookViewId="0">
      <selection activeCell="I23" sqref="I23"/>
    </sheetView>
  </sheetViews>
  <sheetFormatPr defaultRowHeight="14.4" x14ac:dyDescent="0.3"/>
  <cols>
    <col min="2" max="2" width="12.77734375" customWidth="1"/>
  </cols>
  <sheetData>
    <row r="2" spans="2:19" x14ac:dyDescent="0.3">
      <c r="B2" cm="1">
        <f t="array" ref="B2:S16">_xlfn._xlws.PY(0,0,'NA - Revenue'!A1:N24)</f>
        <v>8</v>
      </c>
      <c r="C2" t="str">
        <v>region</v>
      </c>
      <c r="D2" t="str">
        <v>business_unit</v>
      </c>
      <c r="E2" t="str">
        <v>product</v>
      </c>
      <c r="F2" t="str">
        <v>sales_rep</v>
      </c>
      <c r="G2" t="str">
        <v>q1_actual</v>
      </c>
      <c r="H2" t="str">
        <v>q2_actual</v>
      </c>
      <c r="I2" t="str">
        <v>q3_actual</v>
      </c>
      <c r="J2" t="str">
        <v>q4_actual</v>
      </c>
      <c r="K2" t="str">
        <v>fy_total</v>
      </c>
      <c r="L2" t="str">
        <v>yoy_growth</v>
      </c>
      <c r="M2" t="str">
        <v>budget</v>
      </c>
      <c r="N2" t="str">
        <v>variance_vs_budget</v>
      </c>
      <c r="O2" t="str">
        <v>notes</v>
      </c>
      <c r="P2" vm="1">
        <v>0</v>
      </c>
      <c r="Q2" t="str">
        <v>data_flag</v>
      </c>
      <c r="R2" t="str">
        <v>status</v>
      </c>
      <c r="S2" t="str">
        <v>currency</v>
      </c>
    </row>
    <row r="3" spans="2:19" x14ac:dyDescent="0.3">
      <c r="B3" t="str">
        <v/>
      </c>
      <c r="C3" t="str">
        <v>US - East</v>
      </c>
      <c r="D3" t="str">
        <v>Enterprise</v>
      </c>
      <c r="E3" t="str">
        <v>SaaS Platform</v>
      </c>
      <c r="F3" t="str">
        <v>Mike Thompson</v>
      </c>
      <c r="G3">
        <v>4250</v>
      </c>
      <c r="H3">
        <v>4800</v>
      </c>
      <c r="I3">
        <v>5100</v>
      </c>
      <c r="J3">
        <v>5500</v>
      </c>
      <c r="K3">
        <v>19650</v>
      </c>
      <c r="L3" vm="1">
        <v>0</v>
      </c>
      <c r="M3">
        <v>18000</v>
      </c>
      <c r="N3" vm="1">
        <v>0</v>
      </c>
      <c r="O3" vm="1">
        <v>0</v>
      </c>
      <c r="P3" vm="1">
        <v>0</v>
      </c>
      <c r="Q3" t="str">
        <v/>
      </c>
      <c r="R3" t="str">
        <v>active</v>
      </c>
      <c r="S3" t="str">
        <v>USD</v>
      </c>
    </row>
    <row r="4" spans="2:19" x14ac:dyDescent="0.3">
      <c r="B4" t="str">
        <v/>
      </c>
      <c r="C4" t="str">
        <v>US - East</v>
      </c>
      <c r="D4" t="str">
        <v>Enterprise</v>
      </c>
      <c r="E4" t="str">
        <v>Professional Svcs</v>
      </c>
      <c r="F4" t="str">
        <v>Mike Thompson</v>
      </c>
      <c r="G4">
        <v>800</v>
      </c>
      <c r="H4">
        <v>750</v>
      </c>
      <c r="I4">
        <v>900</v>
      </c>
      <c r="J4">
        <v>1100</v>
      </c>
      <c r="K4">
        <v>3550</v>
      </c>
      <c r="L4" vm="1">
        <v>0</v>
      </c>
      <c r="M4">
        <v>3200</v>
      </c>
      <c r="N4" vm="1">
        <v>0</v>
      </c>
      <c r="O4" t="str">
        <v>Q4 includes one-time impl fee</v>
      </c>
      <c r="P4" vm="1">
        <v>0</v>
      </c>
      <c r="Q4" t="str">
        <v/>
      </c>
      <c r="R4" t="str">
        <v>active</v>
      </c>
      <c r="S4" t="str">
        <v>USD</v>
      </c>
    </row>
    <row r="5" spans="2:19" x14ac:dyDescent="0.3">
      <c r="B5" t="str">
        <v/>
      </c>
      <c r="C5" t="str">
        <v>US - East</v>
      </c>
      <c r="D5" t="str">
        <v>Mid-Market</v>
      </c>
      <c r="E5" t="str">
        <v>SaaS Platform</v>
      </c>
      <c r="F5" t="str">
        <v>Jennifer Liu</v>
      </c>
      <c r="G5">
        <v>1200</v>
      </c>
      <c r="H5">
        <v>1350</v>
      </c>
      <c r="I5">
        <v>1100</v>
      </c>
      <c r="J5">
        <v>1400</v>
      </c>
      <c r="K5">
        <v>5050</v>
      </c>
      <c r="L5" vm="1">
        <v>0</v>
      </c>
      <c r="M5">
        <v>4800</v>
      </c>
      <c r="N5" vm="1">
        <v>0</v>
      </c>
      <c r="O5" t="str">
        <v>Rep change Q3 - Jennifer took over</v>
      </c>
      <c r="P5" vm="1">
        <v>0</v>
      </c>
      <c r="Q5" t="str">
        <v/>
      </c>
      <c r="R5" t="str">
        <v>active</v>
      </c>
      <c r="S5" t="str">
        <v>USD</v>
      </c>
    </row>
    <row r="6" spans="2:19" x14ac:dyDescent="0.3">
      <c r="B6" t="str">
        <v/>
      </c>
      <c r="C6" t="str">
        <v>US - East</v>
      </c>
      <c r="D6" t="str">
        <v>Mid-Market</v>
      </c>
      <c r="E6" t="str">
        <v>SaaS Platform</v>
      </c>
      <c r="F6" t="str">
        <v xml:space="preserve">  Jennifer Liu  </v>
      </c>
      <c r="G6">
        <v>0</v>
      </c>
      <c r="H6">
        <v>0</v>
      </c>
      <c r="I6">
        <v>200</v>
      </c>
      <c r="J6">
        <v>350</v>
      </c>
      <c r="K6">
        <v>550</v>
      </c>
      <c r="L6" vm="1">
        <v>0</v>
      </c>
      <c r="M6" vm="1">
        <v>0</v>
      </c>
      <c r="N6" vm="1">
        <v>0</v>
      </c>
      <c r="O6" t="str">
        <v>DUPLICATE? check with Jennifer</v>
      </c>
      <c r="P6" vm="1">
        <v>0</v>
      </c>
      <c r="Q6" t="str">
        <v>budget:was '550'</v>
      </c>
      <c r="R6" t="str">
        <v>active</v>
      </c>
      <c r="S6" t="str">
        <v>USD</v>
      </c>
    </row>
    <row r="7" spans="2:19" x14ac:dyDescent="0.3">
      <c r="B7" t="str">
        <v/>
      </c>
      <c r="C7" t="str">
        <v>US - West</v>
      </c>
      <c r="D7" t="str">
        <v>Enterprise</v>
      </c>
      <c r="E7" t="str">
        <v>SaaS Platform</v>
      </c>
      <c r="F7" t="str">
        <v>Carlos Mendez</v>
      </c>
      <c r="G7">
        <v>3800</v>
      </c>
      <c r="H7">
        <v>4100</v>
      </c>
      <c r="I7">
        <v>3900</v>
      </c>
      <c r="J7">
        <v>4600</v>
      </c>
      <c r="K7">
        <v>16400</v>
      </c>
      <c r="L7" vm="1">
        <v>0</v>
      </c>
      <c r="M7">
        <v>16000</v>
      </c>
      <c r="N7" vm="1">
        <v>0</v>
      </c>
      <c r="O7" vm="1">
        <v>0</v>
      </c>
      <c r="P7" vm="1">
        <v>0</v>
      </c>
      <c r="Q7" t="str">
        <v/>
      </c>
      <c r="R7" t="str">
        <v>active</v>
      </c>
      <c r="S7" t="str">
        <v>USD</v>
      </c>
    </row>
    <row r="8" spans="2:19" x14ac:dyDescent="0.3">
      <c r="B8" t="str">
        <v/>
      </c>
      <c r="C8" t="str">
        <v>US - West</v>
      </c>
      <c r="D8" t="str">
        <v>Enterprise</v>
      </c>
      <c r="E8" t="str">
        <v>Hardware</v>
      </c>
      <c r="F8" t="str">
        <v>Carlos Mendez</v>
      </c>
      <c r="G8">
        <v>620</v>
      </c>
      <c r="H8">
        <v>580</v>
      </c>
      <c r="I8" vm="1">
        <v>0</v>
      </c>
      <c r="J8">
        <v>710</v>
      </c>
      <c r="K8">
        <v>1910</v>
      </c>
      <c r="L8" vm="1">
        <v>0</v>
      </c>
      <c r="M8">
        <v>2400</v>
      </c>
      <c r="N8" vm="1">
        <v>0</v>
      </c>
      <c r="O8" t="str">
        <v>Q3 missing - awaiting warehouse confirmation</v>
      </c>
      <c r="P8" t="str">
        <v>&lt;-- Carlos flagged this as preliminary</v>
      </c>
      <c r="Q8" t="str">
        <v/>
      </c>
      <c r="R8" t="str">
        <v>active</v>
      </c>
      <c r="S8" t="str">
        <v>USD</v>
      </c>
    </row>
    <row r="9" spans="2:19" x14ac:dyDescent="0.3">
      <c r="B9" t="str">
        <v/>
      </c>
      <c r="C9" t="str">
        <v>US - West</v>
      </c>
      <c r="D9" t="str">
        <v>SMB</v>
      </c>
      <c r="E9" t="str">
        <v>SaaS Platform</v>
      </c>
      <c r="F9" t="str">
        <v>Amy Chen</v>
      </c>
      <c r="G9">
        <v>980</v>
      </c>
      <c r="H9">
        <v>1020</v>
      </c>
      <c r="I9">
        <v>1050</v>
      </c>
      <c r="J9" vm="1">
        <v>0</v>
      </c>
      <c r="K9">
        <v>3050</v>
      </c>
      <c r="L9" vm="1">
        <v>0</v>
      </c>
      <c r="M9">
        <v>3900</v>
      </c>
      <c r="N9" vm="1">
        <v>0</v>
      </c>
      <c r="O9" t="str">
        <v>Q4 dispute with channel partner</v>
      </c>
      <c r="P9" vm="1">
        <v>0</v>
      </c>
      <c r="Q9" t="str">
        <v>q4_actual:was 'N/A'</v>
      </c>
      <c r="R9" t="str">
        <v>active</v>
      </c>
      <c r="S9" t="str">
        <v>USD</v>
      </c>
    </row>
    <row r="10" spans="2:19" x14ac:dyDescent="0.3">
      <c r="B10" t="str">
        <v/>
      </c>
      <c r="C10" t="str">
        <v>US - West</v>
      </c>
      <c r="D10" t="str">
        <v>SMB</v>
      </c>
      <c r="E10" t="str">
        <v>Professional Svcs</v>
      </c>
      <c r="F10" t="str">
        <v>Amy Chen</v>
      </c>
      <c r="G10">
        <v>210</v>
      </c>
      <c r="H10">
        <v>190</v>
      </c>
      <c r="I10">
        <v>220</v>
      </c>
      <c r="J10">
        <v>180</v>
      </c>
      <c r="K10">
        <v>800</v>
      </c>
      <c r="L10" vm="1">
        <v>0</v>
      </c>
      <c r="M10">
        <v>800</v>
      </c>
      <c r="N10" vm="1">
        <v>0</v>
      </c>
      <c r="O10" vm="1">
        <v>0</v>
      </c>
      <c r="P10" vm="1">
        <v>0</v>
      </c>
      <c r="Q10" t="str">
        <v/>
      </c>
      <c r="R10" t="str">
        <v>active</v>
      </c>
      <c r="S10" t="str">
        <v>USD</v>
      </c>
    </row>
    <row r="11" spans="2:19" x14ac:dyDescent="0.3">
      <c r="B11" t="str">
        <v/>
      </c>
      <c r="C11" t="str">
        <v>Canada</v>
      </c>
      <c r="D11" t="str">
        <v>Enterprise</v>
      </c>
      <c r="E11" t="str">
        <v>SaaS Platform</v>
      </c>
      <c r="F11" t="str">
        <v>Pierre Leblanc</v>
      </c>
      <c r="G11">
        <v>1500</v>
      </c>
      <c r="H11">
        <v>1600</v>
      </c>
      <c r="I11">
        <v>1550</v>
      </c>
      <c r="J11">
        <v>1800</v>
      </c>
      <c r="K11">
        <v>6450</v>
      </c>
      <c r="L11" vm="1">
        <v>0</v>
      </c>
      <c r="M11">
        <v>6200</v>
      </c>
      <c r="N11" vm="1">
        <v>0</v>
      </c>
      <c r="O11" t="str">
        <v>CAD amounts - need FX conversion!</v>
      </c>
      <c r="P11" vm="1">
        <v>0</v>
      </c>
      <c r="Q11" t="str">
        <v/>
      </c>
      <c r="R11" t="str">
        <v>active</v>
      </c>
      <c r="S11" t="str">
        <v>CAD</v>
      </c>
    </row>
    <row r="12" spans="2:19" x14ac:dyDescent="0.3">
      <c r="B12" t="str">
        <v/>
      </c>
      <c r="C12" t="str">
        <v>Canada</v>
      </c>
      <c r="D12" t="str">
        <v>Enterprise</v>
      </c>
      <c r="E12" t="str">
        <v>Hardware</v>
      </c>
      <c r="F12" t="str">
        <v>Pierre Leblanc</v>
      </c>
      <c r="G12">
        <v>340</v>
      </c>
      <c r="H12">
        <v>310</v>
      </c>
      <c r="I12">
        <v>290</v>
      </c>
      <c r="J12">
        <v>420</v>
      </c>
      <c r="K12">
        <v>1360</v>
      </c>
      <c r="L12" vm="1">
        <v>0</v>
      </c>
      <c r="M12">
        <v>1300</v>
      </c>
      <c r="N12" vm="1">
        <v>0</v>
      </c>
      <c r="O12" t="str">
        <v>CAD amounts</v>
      </c>
      <c r="P12" vm="1">
        <v>0</v>
      </c>
      <c r="Q12" t="str">
        <v/>
      </c>
      <c r="R12" t="str">
        <v>active</v>
      </c>
      <c r="S12" t="str">
        <v>CAD</v>
      </c>
    </row>
    <row r="13" spans="2:19" x14ac:dyDescent="0.3">
      <c r="B13" t="str">
        <v/>
      </c>
      <c r="C13" t="str">
        <v>Canada</v>
      </c>
      <c r="D13" t="str">
        <v>Mid-Market</v>
      </c>
      <c r="E13" t="str">
        <v>SaaS Platform</v>
      </c>
      <c r="F13" t="str">
        <v>Marie Tremblay</v>
      </c>
      <c r="G13">
        <v>680</v>
      </c>
      <c r="H13">
        <v>720</v>
      </c>
      <c r="I13">
        <v>700</v>
      </c>
      <c r="J13">
        <v>810</v>
      </c>
      <c r="K13">
        <v>2910</v>
      </c>
      <c r="L13" vm="1">
        <v>0</v>
      </c>
      <c r="M13">
        <v>2800</v>
      </c>
      <c r="N13" vm="1">
        <v>0</v>
      </c>
      <c r="O13" vm="1">
        <v>0</v>
      </c>
      <c r="P13" vm="1">
        <v>0</v>
      </c>
      <c r="Q13" t="str">
        <v/>
      </c>
      <c r="R13" t="str">
        <v>active</v>
      </c>
      <c r="S13" t="str">
        <v>CAD</v>
      </c>
    </row>
    <row r="14" spans="2:19" x14ac:dyDescent="0.3">
      <c r="B14" t="str">
        <v/>
      </c>
      <c r="C14" t="str">
        <v>Mexico</v>
      </c>
      <c r="D14" t="str">
        <v>Enterprise</v>
      </c>
      <c r="E14" t="str">
        <v>SaaS Platform</v>
      </c>
      <c r="F14" t="str">
        <v>Roberto Diaz</v>
      </c>
      <c r="G14">
        <v>920</v>
      </c>
      <c r="H14">
        <v>980</v>
      </c>
      <c r="I14">
        <v>1010</v>
      </c>
      <c r="J14">
        <v>1200</v>
      </c>
      <c r="K14">
        <v>4110</v>
      </c>
      <c r="L14" vm="1">
        <v>0</v>
      </c>
      <c r="M14">
        <v>3800</v>
      </c>
      <c r="N14" vm="1">
        <v>0</v>
      </c>
      <c r="O14" t="str">
        <v>MXN - FX rate used: 17.2</v>
      </c>
      <c r="P14" vm="1">
        <v>0</v>
      </c>
      <c r="Q14" t="str">
        <v/>
      </c>
      <c r="R14" t="str">
        <v>active</v>
      </c>
      <c r="S14" t="str">
        <v>MXN</v>
      </c>
    </row>
    <row r="15" spans="2:19" x14ac:dyDescent="0.3">
      <c r="B15" t="str">
        <v/>
      </c>
      <c r="C15" t="str">
        <v>Mexico</v>
      </c>
      <c r="D15" t="str">
        <v>Mid-Market</v>
      </c>
      <c r="E15" t="str">
        <v>SaaS Platform</v>
      </c>
      <c r="F15" t="str">
        <v>Roberto Diaz</v>
      </c>
      <c r="G15">
        <v>310</v>
      </c>
      <c r="H15">
        <v>290</v>
      </c>
      <c r="I15">
        <v>280</v>
      </c>
      <c r="J15">
        <v>350</v>
      </c>
      <c r="K15">
        <v>1230</v>
      </c>
      <c r="L15" vm="1">
        <v>0</v>
      </c>
      <c r="M15">
        <v>1100</v>
      </c>
      <c r="N15" vm="1">
        <v>0</v>
      </c>
      <c r="O15" vm="1">
        <v>0</v>
      </c>
      <c r="P15" vm="1">
        <v>0</v>
      </c>
      <c r="Q15" t="str">
        <v/>
      </c>
      <c r="R15" t="str">
        <v>active</v>
      </c>
      <c r="S15" t="str">
        <v>MXN</v>
      </c>
    </row>
    <row r="16" spans="2:19" x14ac:dyDescent="0.3">
      <c r="B16" t="str">
        <v/>
      </c>
      <c r="C16" t="str">
        <v>Mexico</v>
      </c>
      <c r="D16" t="str">
        <v>SMB</v>
      </c>
      <c r="E16" t="str">
        <v>SaaS Platform</v>
      </c>
      <c r="F16" t="str">
        <v>Ana Torres</v>
      </c>
      <c r="G16">
        <v>150</v>
      </c>
      <c r="H16">
        <v>170</v>
      </c>
      <c r="I16">
        <v>160</v>
      </c>
      <c r="J16">
        <v>195</v>
      </c>
      <c r="K16">
        <v>675</v>
      </c>
      <c r="L16" vm="1">
        <v>0</v>
      </c>
      <c r="M16">
        <v>600</v>
      </c>
      <c r="N16" vm="1">
        <v>0</v>
      </c>
      <c r="O16" t="str">
        <v>Below quota 3 quarters</v>
      </c>
      <c r="P16" vm="1">
        <v>0</v>
      </c>
      <c r="Q16" t="str">
        <v/>
      </c>
      <c r="R16" t="str">
        <v>active</v>
      </c>
      <c r="S16" t="str">
        <v>MXN</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79998168889431442"/>
  </sheetPr>
  <dimension ref="A1:O23"/>
  <sheetViews>
    <sheetView workbookViewId="0"/>
  </sheetViews>
  <sheetFormatPr defaultRowHeight="14.4" x14ac:dyDescent="0.3"/>
  <cols>
    <col min="1" max="1" width="40" customWidth="1"/>
    <col min="2" max="2" width="16" customWidth="1"/>
    <col min="3" max="3" width="14" customWidth="1"/>
    <col min="4" max="4" width="40" customWidth="1"/>
    <col min="5" max="7" width="8" customWidth="1"/>
    <col min="8" max="8" width="11" customWidth="1"/>
    <col min="9" max="9" width="35" customWidth="1"/>
    <col min="10" max="10" width="10" customWidth="1"/>
    <col min="11" max="12" width="25" customWidth="1"/>
    <col min="13" max="13" width="10" customWidth="1"/>
    <col min="14" max="14" width="31" customWidth="1"/>
    <col min="15" max="15" width="40" customWidth="1"/>
  </cols>
  <sheetData>
    <row r="1" spans="1:15" x14ac:dyDescent="0.3">
      <c r="A1" t="s">
        <v>169</v>
      </c>
      <c r="D1" s="11" t="s">
        <v>170</v>
      </c>
    </row>
    <row r="2" spans="1:15" x14ac:dyDescent="0.3">
      <c r="A2" t="s">
        <v>171</v>
      </c>
    </row>
    <row r="3" spans="1:15" x14ac:dyDescent="0.3">
      <c r="A3" t="s">
        <v>172</v>
      </c>
    </row>
    <row r="5" spans="1:15" x14ac:dyDescent="0.3">
      <c r="A5" s="12" t="s">
        <v>55</v>
      </c>
      <c r="B5" s="12" t="s">
        <v>173</v>
      </c>
      <c r="C5" s="12" t="s">
        <v>174</v>
      </c>
      <c r="D5" s="12" t="s">
        <v>175</v>
      </c>
      <c r="E5" s="12" t="s">
        <v>176</v>
      </c>
      <c r="F5" s="12" t="s">
        <v>177</v>
      </c>
      <c r="G5" s="12" t="s">
        <v>178</v>
      </c>
      <c r="H5" s="12" t="s">
        <v>179</v>
      </c>
      <c r="I5" s="12" t="s">
        <v>180</v>
      </c>
      <c r="J5" s="12" t="s">
        <v>181</v>
      </c>
      <c r="K5" s="12" t="s">
        <v>182</v>
      </c>
      <c r="L5" s="12" t="s">
        <v>183</v>
      </c>
      <c r="M5" s="12" t="s">
        <v>184</v>
      </c>
      <c r="N5" s="12" t="s">
        <v>185</v>
      </c>
      <c r="O5" s="12" t="s">
        <v>186</v>
      </c>
    </row>
    <row r="6" spans="1:15" x14ac:dyDescent="0.3">
      <c r="A6" t="s">
        <v>187</v>
      </c>
      <c r="B6" t="s">
        <v>188</v>
      </c>
      <c r="C6" t="s">
        <v>189</v>
      </c>
      <c r="D6" t="s">
        <v>190</v>
      </c>
      <c r="E6">
        <v>1800</v>
      </c>
      <c r="F6">
        <v>1950</v>
      </c>
      <c r="G6">
        <v>1900</v>
      </c>
      <c r="H6">
        <v>2100</v>
      </c>
      <c r="I6">
        <f t="shared" ref="I6:I17" si="0">IFERROR(E6+F6+G6+H6,"CHECK")</f>
        <v>7750</v>
      </c>
      <c r="J6">
        <v>7400</v>
      </c>
      <c r="K6">
        <f t="shared" ref="K6:K17" si="1">IFERROR(I6-J6,"N/A")</f>
        <v>350</v>
      </c>
      <c r="L6">
        <f t="shared" ref="L6:L17" si="2">IFERROR(K6/J6,"N/A")</f>
        <v>4.72972972972973E-2</v>
      </c>
      <c r="M6">
        <v>6200</v>
      </c>
      <c r="N6">
        <f t="shared" ref="N6:N17" si="3">IFERROR((I6-M6)/M6,"N/A")</f>
        <v>0.25</v>
      </c>
    </row>
    <row r="7" spans="1:15" x14ac:dyDescent="0.3">
      <c r="A7" t="s">
        <v>187</v>
      </c>
      <c r="B7" t="s">
        <v>188</v>
      </c>
      <c r="C7" t="s">
        <v>191</v>
      </c>
      <c r="D7" t="s">
        <v>190</v>
      </c>
      <c r="E7">
        <v>620</v>
      </c>
      <c r="F7">
        <v>590</v>
      </c>
      <c r="G7">
        <v>640</v>
      </c>
      <c r="H7">
        <v>700</v>
      </c>
      <c r="I7">
        <f t="shared" si="0"/>
        <v>2550</v>
      </c>
      <c r="J7">
        <v>2400</v>
      </c>
      <c r="K7">
        <f t="shared" si="1"/>
        <v>150</v>
      </c>
      <c r="L7">
        <f t="shared" si="2"/>
        <v>6.25E-2</v>
      </c>
      <c r="M7">
        <v>1900</v>
      </c>
      <c r="N7">
        <f t="shared" si="3"/>
        <v>0.34210526315789475</v>
      </c>
    </row>
    <row r="8" spans="1:15" x14ac:dyDescent="0.3">
      <c r="A8" t="s">
        <v>187</v>
      </c>
      <c r="B8" t="s">
        <v>192</v>
      </c>
      <c r="C8" t="s">
        <v>189</v>
      </c>
      <c r="D8" t="s">
        <v>193</v>
      </c>
      <c r="E8">
        <v>980</v>
      </c>
      <c r="F8">
        <v>1050</v>
      </c>
      <c r="G8">
        <v>1000</v>
      </c>
      <c r="H8" t="s">
        <v>194</v>
      </c>
      <c r="I8" t="str">
        <f t="shared" si="0"/>
        <v>CHECK</v>
      </c>
      <c r="J8">
        <v>3800</v>
      </c>
      <c r="K8" t="str">
        <f t="shared" si="1"/>
        <v>N/A</v>
      </c>
      <c r="L8" t="str">
        <f t="shared" si="2"/>
        <v>N/A</v>
      </c>
      <c r="M8">
        <v>3200</v>
      </c>
      <c r="N8" t="str">
        <f t="shared" si="3"/>
        <v>N/A</v>
      </c>
      <c r="O8" t="s">
        <v>195</v>
      </c>
    </row>
    <row r="9" spans="1:15" x14ac:dyDescent="0.3">
      <c r="A9" t="s">
        <v>187</v>
      </c>
      <c r="B9" t="s">
        <v>196</v>
      </c>
      <c r="C9" t="s">
        <v>189</v>
      </c>
      <c r="D9" t="s">
        <v>193</v>
      </c>
      <c r="E9">
        <v>430</v>
      </c>
      <c r="F9">
        <v>460</v>
      </c>
      <c r="G9">
        <v>440</v>
      </c>
      <c r="H9">
        <v>490</v>
      </c>
      <c r="I9">
        <f t="shared" si="0"/>
        <v>1820</v>
      </c>
      <c r="J9">
        <v>1700</v>
      </c>
      <c r="K9">
        <f t="shared" si="1"/>
        <v>120</v>
      </c>
      <c r="L9">
        <f t="shared" si="2"/>
        <v>7.0588235294117646E-2</v>
      </c>
      <c r="M9">
        <v>1400</v>
      </c>
      <c r="N9">
        <f t="shared" si="3"/>
        <v>0.3</v>
      </c>
      <c r="O9" t="s">
        <v>197</v>
      </c>
    </row>
    <row r="10" spans="1:15" x14ac:dyDescent="0.3">
      <c r="A10" t="s">
        <v>198</v>
      </c>
      <c r="B10" t="s">
        <v>199</v>
      </c>
      <c r="C10" t="s">
        <v>189</v>
      </c>
      <c r="D10" t="s">
        <v>200</v>
      </c>
      <c r="E10">
        <v>760</v>
      </c>
      <c r="F10">
        <v>800</v>
      </c>
      <c r="G10">
        <v>780</v>
      </c>
      <c r="H10">
        <v>850</v>
      </c>
      <c r="I10">
        <f t="shared" si="0"/>
        <v>3190</v>
      </c>
      <c r="J10">
        <v>3000</v>
      </c>
      <c r="K10">
        <f t="shared" si="1"/>
        <v>190</v>
      </c>
      <c r="L10">
        <f t="shared" si="2"/>
        <v>6.3333333333333339E-2</v>
      </c>
      <c r="M10">
        <v>2400</v>
      </c>
      <c r="N10">
        <f t="shared" si="3"/>
        <v>0.32916666666666666</v>
      </c>
      <c r="O10" t="s">
        <v>201</v>
      </c>
    </row>
    <row r="11" spans="1:15" x14ac:dyDescent="0.3">
      <c r="A11" t="s">
        <v>198</v>
      </c>
      <c r="B11" t="s">
        <v>199</v>
      </c>
      <c r="C11" t="s">
        <v>191</v>
      </c>
      <c r="D11" t="s">
        <v>200</v>
      </c>
      <c r="E11">
        <v>190</v>
      </c>
      <c r="F11">
        <v>180</v>
      </c>
      <c r="G11">
        <v>200</v>
      </c>
      <c r="H11">
        <v>210</v>
      </c>
      <c r="I11">
        <f t="shared" si="0"/>
        <v>780</v>
      </c>
      <c r="J11">
        <v>720</v>
      </c>
      <c r="K11">
        <f t="shared" si="1"/>
        <v>60</v>
      </c>
      <c r="L11">
        <f t="shared" si="2"/>
        <v>8.3333333333333329E-2</v>
      </c>
      <c r="M11">
        <v>580</v>
      </c>
      <c r="N11">
        <f t="shared" si="3"/>
        <v>0.34482758620689657</v>
      </c>
      <c r="O11" t="s">
        <v>202</v>
      </c>
    </row>
    <row r="12" spans="1:15" x14ac:dyDescent="0.3">
      <c r="A12" t="s">
        <v>203</v>
      </c>
      <c r="B12" t="s">
        <v>204</v>
      </c>
      <c r="C12" t="s">
        <v>189</v>
      </c>
      <c r="D12" t="s">
        <v>205</v>
      </c>
      <c r="E12">
        <v>640</v>
      </c>
      <c r="F12">
        <v>680</v>
      </c>
      <c r="G12">
        <v>660</v>
      </c>
      <c r="H12">
        <v>710</v>
      </c>
      <c r="I12">
        <f t="shared" si="0"/>
        <v>2690</v>
      </c>
      <c r="J12">
        <v>2500</v>
      </c>
      <c r="K12">
        <f t="shared" si="1"/>
        <v>190</v>
      </c>
      <c r="L12">
        <f t="shared" si="2"/>
        <v>7.5999999999999998E-2</v>
      </c>
      <c r="M12">
        <v>2100</v>
      </c>
      <c r="N12">
        <f t="shared" si="3"/>
        <v>0.28095238095238095</v>
      </c>
      <c r="O12" t="s">
        <v>206</v>
      </c>
    </row>
    <row r="13" spans="1:15" x14ac:dyDescent="0.3">
      <c r="A13" t="s">
        <v>207</v>
      </c>
      <c r="B13" t="s">
        <v>208</v>
      </c>
      <c r="C13" t="s">
        <v>189</v>
      </c>
      <c r="D13" t="s">
        <v>209</v>
      </c>
      <c r="E13">
        <v>320</v>
      </c>
      <c r="F13">
        <v>280</v>
      </c>
      <c r="G13">
        <v>260</v>
      </c>
      <c r="I13">
        <f t="shared" si="0"/>
        <v>860</v>
      </c>
      <c r="J13">
        <v>1200</v>
      </c>
      <c r="K13">
        <f t="shared" si="1"/>
        <v>-340</v>
      </c>
      <c r="L13">
        <f t="shared" si="2"/>
        <v>-0.28333333333333333</v>
      </c>
      <c r="M13">
        <v>1800</v>
      </c>
      <c r="N13">
        <f t="shared" si="3"/>
        <v>-0.52222222222222225</v>
      </c>
      <c r="O13" t="s">
        <v>210</v>
      </c>
    </row>
    <row r="14" spans="1:15" x14ac:dyDescent="0.3">
      <c r="A14" t="s">
        <v>207</v>
      </c>
      <c r="B14" t="s">
        <v>208</v>
      </c>
      <c r="C14" t="s">
        <v>189</v>
      </c>
      <c r="D14" t="s">
        <v>209</v>
      </c>
      <c r="E14">
        <v>0</v>
      </c>
      <c r="F14">
        <v>0</v>
      </c>
      <c r="G14">
        <v>0</v>
      </c>
      <c r="H14">
        <v>0</v>
      </c>
      <c r="I14">
        <f t="shared" si="0"/>
        <v>0</v>
      </c>
      <c r="J14">
        <v>0</v>
      </c>
      <c r="K14">
        <f t="shared" si="1"/>
        <v>0</v>
      </c>
      <c r="L14" t="str">
        <f t="shared" si="2"/>
        <v>N/A</v>
      </c>
      <c r="N14" t="str">
        <f t="shared" si="3"/>
        <v>N/A</v>
      </c>
      <c r="O14" t="s">
        <v>211</v>
      </c>
    </row>
    <row r="15" spans="1:15" x14ac:dyDescent="0.3">
      <c r="A15" t="s">
        <v>212</v>
      </c>
      <c r="B15" t="s">
        <v>213</v>
      </c>
      <c r="C15" t="s">
        <v>189</v>
      </c>
      <c r="D15" t="s">
        <v>214</v>
      </c>
      <c r="E15">
        <v>310</v>
      </c>
      <c r="F15">
        <v>330</v>
      </c>
      <c r="G15">
        <v>320</v>
      </c>
      <c r="H15">
        <v>350</v>
      </c>
      <c r="I15">
        <f t="shared" si="0"/>
        <v>1310</v>
      </c>
      <c r="J15">
        <v>1200</v>
      </c>
      <c r="K15">
        <f t="shared" si="1"/>
        <v>110</v>
      </c>
      <c r="L15">
        <f t="shared" si="2"/>
        <v>9.166666666666666E-2</v>
      </c>
      <c r="M15">
        <v>980</v>
      </c>
      <c r="N15">
        <f t="shared" si="3"/>
        <v>0.33673469387755101</v>
      </c>
      <c r="O15" t="s">
        <v>215</v>
      </c>
    </row>
    <row r="16" spans="1:15" x14ac:dyDescent="0.3">
      <c r="A16" t="s">
        <v>216</v>
      </c>
      <c r="B16" t="s">
        <v>217</v>
      </c>
      <c r="C16" t="s">
        <v>189</v>
      </c>
      <c r="D16" t="s">
        <v>214</v>
      </c>
      <c r="E16">
        <v>140</v>
      </c>
      <c r="F16">
        <v>155</v>
      </c>
      <c r="G16">
        <v>148</v>
      </c>
      <c r="H16">
        <v>160</v>
      </c>
      <c r="I16">
        <f t="shared" si="0"/>
        <v>603</v>
      </c>
      <c r="J16">
        <v>580</v>
      </c>
      <c r="K16">
        <f t="shared" si="1"/>
        <v>23</v>
      </c>
      <c r="L16">
        <f t="shared" si="2"/>
        <v>3.9655172413793106E-2</v>
      </c>
      <c r="M16">
        <v>450</v>
      </c>
      <c r="N16">
        <f t="shared" si="3"/>
        <v>0.34</v>
      </c>
      <c r="O16" t="s">
        <v>218</v>
      </c>
    </row>
    <row r="17" spans="1:15" x14ac:dyDescent="0.3">
      <c r="A17" t="s">
        <v>219</v>
      </c>
      <c r="B17" t="s">
        <v>165</v>
      </c>
      <c r="C17" t="s">
        <v>189</v>
      </c>
      <c r="D17" t="s">
        <v>165</v>
      </c>
      <c r="E17">
        <v>280</v>
      </c>
      <c r="F17">
        <v>295</v>
      </c>
      <c r="G17">
        <v>285</v>
      </c>
      <c r="H17">
        <v>310</v>
      </c>
      <c r="I17">
        <f t="shared" si="0"/>
        <v>1170</v>
      </c>
      <c r="J17">
        <v>1100</v>
      </c>
      <c r="K17">
        <f t="shared" si="1"/>
        <v>70</v>
      </c>
      <c r="L17">
        <f t="shared" si="2"/>
        <v>6.363636363636363E-2</v>
      </c>
      <c r="M17">
        <v>870</v>
      </c>
      <c r="N17">
        <f t="shared" si="3"/>
        <v>0.34482758620689657</v>
      </c>
      <c r="O17" t="s">
        <v>220</v>
      </c>
    </row>
    <row r="20" spans="1:15" x14ac:dyDescent="0.3">
      <c r="A20" t="s">
        <v>221</v>
      </c>
    </row>
    <row r="21" spans="1:15" x14ac:dyDescent="0.3">
      <c r="A21" s="13" t="s">
        <v>222</v>
      </c>
    </row>
    <row r="22" spans="1:15" x14ac:dyDescent="0.3">
      <c r="A22" t="s">
        <v>223</v>
      </c>
      <c r="E22">
        <v>8700</v>
      </c>
    </row>
    <row r="23" spans="1:15" x14ac:dyDescent="0.3">
      <c r="A23" t="s">
        <v>224</v>
      </c>
      <c r="E23">
        <v>2980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Home</vt:lpstr>
      <vt:lpstr>Prompts</vt:lpstr>
      <vt:lpstr>Data→</vt:lpstr>
      <vt:lpstr>NA - Revenue</vt:lpstr>
      <vt:lpstr>EMEA - Revenue</vt:lpstr>
      <vt:lpstr>APAC - Revenue</vt:lpstr>
      <vt:lpstr>Clean with Python</vt:lpstr>
      <vt:lpstr>LATAM - Revenue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Christian M</cp:lastModifiedBy>
  <dcterms:created xsi:type="dcterms:W3CDTF">2026-03-22T09:55:06Z</dcterms:created>
  <dcterms:modified xsi:type="dcterms:W3CDTF">2026-03-22T19:18:27Z</dcterms:modified>
</cp:coreProperties>
</file>