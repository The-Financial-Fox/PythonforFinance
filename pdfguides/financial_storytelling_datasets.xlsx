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09"/>
  <workbookPr/>
  <mc:AlternateContent xmlns:mc="http://schemas.openxmlformats.org/markup-compatibility/2006">
    <mc:Choice Requires="x15">
      <x15ac:absPath xmlns:x15ac="http://schemas.microsoft.com/office/spreadsheetml/2010/11/ac" url="C:\Users\chris\Downloads\"/>
    </mc:Choice>
  </mc:AlternateContent>
  <xr:revisionPtr revIDLastSave="0" documentId="13_ncr:1_{872C34D0-F095-42C0-8808-B50910EE136F}" xr6:coauthVersionLast="47" xr6:coauthVersionMax="47" xr10:uidLastSave="{00000000-0000-0000-0000-000000000000}"/>
  <bookViews>
    <workbookView xWindow="-23148" yWindow="-84" windowWidth="23256" windowHeight="12456" xr2:uid="{00000000-000D-0000-FFFF-FFFF00000000}"/>
  </bookViews>
  <sheets>
    <sheet name="Waterfall Chart Done" sheetId="7" r:id="rId1"/>
    <sheet name="Datasets→" sheetId="8" r:id="rId2"/>
    <sheet name="AIR_Framework" sheetId="1" r:id="rId3"/>
    <sheet name="3x3_Variance" sheetId="2" r:id="rId4"/>
    <sheet name="FP&amp;A_Pyramid" sheetId="3" r:id="rId5"/>
    <sheet name="Driver_Bridge" sheetId="4" r:id="rId6"/>
    <sheet name="CFO_Decision" sheetId="5" r:id="rId7"/>
    <sheet name="Forecast_Story" sheetId="6" r:id="rId8"/>
  </sheets>
  <definedNames>
    <definedName name="_xlchart.v1.0" hidden="1">'Waterfall Chart Done'!$G$30:$O$30</definedName>
    <definedName name="_xlchart.v1.1" hidden="1">'Waterfall Chart Done'!$G$31:$O$31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7" l="1"/>
  <c r="I37" i="7"/>
  <c r="H35" i="7"/>
  <c r="H34" i="7"/>
  <c r="H33" i="7"/>
  <c r="N31" i="7"/>
  <c r="M31" i="7"/>
  <c r="L31" i="7"/>
  <c r="K31" i="7"/>
  <c r="J31" i="7"/>
  <c r="I31" i="7"/>
  <c r="H31" i="7"/>
  <c r="G31" i="7"/>
  <c r="O31" i="7" s="1"/>
  <c r="Q31" i="7" s="1"/>
</calcChain>
</file>

<file path=xl/sharedStrings.xml><?xml version="1.0" encoding="utf-8"?>
<sst xmlns="http://schemas.openxmlformats.org/spreadsheetml/2006/main" count="191" uniqueCount="130">
  <si>
    <t>Month</t>
  </si>
  <si>
    <t>Revenue</t>
  </si>
  <si>
    <t>Plan_Revenue</t>
  </si>
  <si>
    <t>PY_Revenue</t>
  </si>
  <si>
    <t>Margin%</t>
  </si>
  <si>
    <t>Plan_Margin%</t>
  </si>
  <si>
    <t>OPEX</t>
  </si>
  <si>
    <t>Plan_OPEX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</si>
  <si>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</si>
  <si>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</si>
  <si>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</si>
  <si>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</si>
  <si>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</si>
  <si>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</si>
  <si>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</si>
  <si>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</si>
  <si>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</si>
  <si>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</si>
  <si>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</si>
  <si>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</si>
  <si>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Type</t>
  </si>
  <si>
    <t>Metric</t>
  </si>
  <si>
    <t>Value</t>
  </si>
  <si>
    <t>Fact</t>
  </si>
  <si>
    <t>Revenue variance vs plan</t>
  </si>
  <si>
    <t>+3.2%</t>
  </si>
  <si>
    <t>Gross Margin variance</t>
  </si>
  <si>
    <t>-45 bps</t>
  </si>
  <si>
    <t>OPEX variance</t>
  </si>
  <si>
    <t>+$2.4M</t>
  </si>
  <si>
    <t>Driver</t>
  </si>
  <si>
    <t>Price realization</t>
  </si>
  <si>
    <t>Under by –1.1%</t>
  </si>
  <si>
    <t>Logistics cost inflation</t>
  </si>
  <si>
    <t>+$1.8M</t>
  </si>
  <si>
    <t>Hiring above plan</t>
  </si>
  <si>
    <t>+42 HC</t>
  </si>
  <si>
    <t>Action</t>
  </si>
  <si>
    <t>Implement mid-Q price uplift</t>
  </si>
  <si>
    <t>Renegotiate 2 logistics contracts</t>
  </si>
  <si>
    <t>Freeze noncritical hiring</t>
  </si>
  <si>
    <t>What (Data)</t>
  </si>
  <si>
    <t>So What (Impact)</t>
  </si>
  <si>
    <t>Now What (Decision Needed)</t>
  </si>
  <si>
    <t>Revenue trending –1.8% vs plan; GM –55bps; OPEX +4.2%</t>
  </si>
  <si>
    <t>EBITDA projected –$6.5M; cash runway –1.5 months</t>
  </si>
  <si>
    <t>Approve price uplift + optimize SG&amp;A spend</t>
  </si>
  <si>
    <t>Start EBITDA</t>
  </si>
  <si>
    <t>Volume</t>
  </si>
  <si>
    <t>Price</t>
  </si>
  <si>
    <t>Mix</t>
  </si>
  <si>
    <t>Inflation</t>
  </si>
  <si>
    <t>Productivity</t>
  </si>
  <si>
    <t>FX</t>
  </si>
  <si>
    <t>One-offs</t>
  </si>
  <si>
    <t>Timing</t>
  </si>
  <si>
    <t>End EBITDA</t>
  </si>
  <si>
    <t>Decision Needed</t>
  </si>
  <si>
    <t>Option</t>
  </si>
  <si>
    <t>Impact (EBITDA)</t>
  </si>
  <si>
    <t>Cash Impact</t>
  </si>
  <si>
    <t>Risks</t>
  </si>
  <si>
    <t>Q3 cost optimization</t>
  </si>
  <si>
    <t>Do nothing</t>
  </si>
  <si>
    <t>–$7M</t>
  </si>
  <si>
    <t>–$4M</t>
  </si>
  <si>
    <t>Runway risk; miss guidance</t>
  </si>
  <si>
    <t>Cut SG&amp;A 5%</t>
  </si>
  <si>
    <t>+$3M</t>
  </si>
  <si>
    <t>+$2.5M</t>
  </si>
  <si>
    <t>Team burnout; execution delay</t>
  </si>
  <si>
    <t>Freeze hiring</t>
  </si>
  <si>
    <t>+$5M</t>
  </si>
  <si>
    <t>Loss of momentum</t>
  </si>
  <si>
    <t>Hybrid: 3% SG&amp;A + critical hiring only</t>
  </si>
  <si>
    <t>+$6.5M</t>
  </si>
  <si>
    <t>+$4.2M</t>
  </si>
  <si>
    <t>Medium operational risk</t>
  </si>
  <si>
    <t>Headline</t>
  </si>
  <si>
    <t>Drivers</t>
  </si>
  <si>
    <t>Actions</t>
  </si>
  <si>
    <t>Confidence</t>
  </si>
  <si>
    <t>FY Forecast –2.3% vs plan; softness in Q3/Q4</t>
  </si>
  <si>
    <t>Volume –1.2%; FX –0.9%; delayed pricing +0.4%; inflation –$3.1M</t>
  </si>
  <si>
    <t>Accelerate pricing; new vendor bids; freeze noncritical hiring</t>
  </si>
  <si>
    <t>Yellow</t>
  </si>
  <si>
    <t>Category</t>
  </si>
  <si>
    <t>Type 2</t>
  </si>
  <si>
    <t>Amount</t>
  </si>
  <si>
    <t>Balance from Prev</t>
  </si>
  <si>
    <t>Starting Balance</t>
  </si>
  <si>
    <t>N/A</t>
  </si>
  <si>
    <t xml:space="preserve"> Revenue Activity A</t>
  </si>
  <si>
    <t>Main Revenue</t>
  </si>
  <si>
    <t>Product A Sales</t>
  </si>
  <si>
    <t>Product</t>
  </si>
  <si>
    <t>Product B Sales</t>
  </si>
  <si>
    <t>Product C Sales</t>
  </si>
  <si>
    <t>Service Revenue</t>
  </si>
  <si>
    <t>Other revenue</t>
  </si>
  <si>
    <t>Consulting</t>
  </si>
  <si>
    <t>Support</t>
  </si>
  <si>
    <t>Training</t>
  </si>
  <si>
    <t>Cost of Goods Sold</t>
  </si>
  <si>
    <t>Cost of Sales</t>
  </si>
  <si>
    <t>COGS</t>
  </si>
  <si>
    <t>Other Costs A</t>
  </si>
  <si>
    <t>Other Costs</t>
  </si>
  <si>
    <t>Other Costs B</t>
  </si>
  <si>
    <t>Salaries</t>
  </si>
  <si>
    <t>Operational Costs</t>
  </si>
  <si>
    <t>Rent</t>
  </si>
  <si>
    <t>Utilities</t>
  </si>
  <si>
    <t>Digital Ads</t>
  </si>
  <si>
    <t>Marketing Costs</t>
  </si>
  <si>
    <t>Print Ads</t>
  </si>
  <si>
    <t>Sponsorships</t>
  </si>
  <si>
    <t>Product Development</t>
  </si>
  <si>
    <t>R&amp;D Costs</t>
  </si>
  <si>
    <t>Testing</t>
  </si>
  <si>
    <t>Prototyping</t>
  </si>
  <si>
    <t>Financial Costs</t>
  </si>
  <si>
    <t>Loan Interest</t>
  </si>
  <si>
    <t>Credit Line Interest</t>
  </si>
  <si>
    <t>Tax 1</t>
  </si>
  <si>
    <t>Taxes</t>
  </si>
  <si>
    <t>Tax 2</t>
  </si>
  <si>
    <t>Total</t>
  </si>
  <si>
    <t>▲</t>
  </si>
  <si>
    <t xml:space="preserve">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</si>
</sst>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;\(#,##0\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66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165" fontId="4" fillId="3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65" fontId="4" fillId="0" borderId="1" xfId="1" applyNumberFormat="1" applyFont="1" applyBorder="1" applyAlignment="1">
      <alignment horizontal="center" vertical="center"/>
    </xf>
    <xf numFmtId="165" fontId="3" fillId="4" borderId="1" xfId="1" applyNumberFormat="1" applyFont="1" applyFill="1" applyBorder="1" applyAlignment="1">
      <alignment horizontal="center" vertical="center"/>
    </xf>
    <xf numFmtId="165" fontId="0" fillId="5" borderId="1" xfId="1" applyNumberFormat="1" applyFont="1" applyFill="1" applyBorder="1" applyAlignment="1">
      <alignment horizontal="center" vertical="center"/>
    </xf>
  </cellXfs>
  <cellStyles count="2">
    <cellStyle name="Comma 2" xfId="1" xr:uid="{5CD39582-274B-4708-A177-A86FC6E67B3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val">
        <cx:f dir="row">_xlchart.v1.1</cx:f>
      </cx:numDim>
    </cx:data>
  </cx:chartData>
  <cx:chart>
    <cx:title pos="t" align="ctr" overlay="0">
      <cx:tx>
        <cx:txData>
          <cx:v>Revenue Waterfall Chart 2025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400" b="1" i="0" u="none" strike="noStrike" baseline="0">
              <a:solidFill>
                <a:sysClr val="windowText" lastClr="000000"/>
              </a:solidFill>
              <a:latin typeface="Calibri"/>
            </a:rPr>
            <a:t>Revenue Waterfall Chart 2025</a:t>
          </a:r>
        </a:p>
      </cx:txPr>
    </cx:title>
    <cx:plotArea>
      <cx:plotAreaRegion>
        <cx:plotSurface>
          <cx:spPr>
            <a:noFill/>
          </cx:spPr>
        </cx:plotSurface>
        <cx:series layoutId="waterfall" uniqueId="{BA5E2641-71F9-4268-B49C-B3E4879F3529}">
          <cx:dataPt idx="8">
            <cx:spPr>
              <a:solidFill>
                <a:sysClr val="window" lastClr="FFFFFF">
                  <a:lumMod val="50000"/>
                </a:sysClr>
              </a:solidFill>
            </cx:spPr>
          </cx:dataPt>
          <cx:dataLabels pos="outEnd">
            <cx:visibility seriesName="0" categoryName="0" value="1"/>
          </cx:dataLabels>
          <cx:dataId val="0"/>
          <cx:layoutPr>
            <cx:subtotals>
              <cx:idx val="8"/>
            </cx:subtotals>
          </cx:layoutPr>
        </cx:series>
      </cx:plotAreaRegion>
      <cx:axis id="0">
        <cx:catScaling gapWidth="0.5"/>
        <cx:tickLabels/>
        <cx:spPr>
          <a:ln>
            <a:solidFill>
              <a:schemeClr val="tx1"/>
            </a:solidFill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b="1">
                <a:solidFill>
                  <a:sysClr val="windowText" lastClr="000000"/>
                </a:solidFill>
              </a:defRPr>
            </a:pPr>
            <a:endParaRPr lang="en-GB" sz="900" b="1" i="0" u="none" strike="noStrike" baseline="0">
              <a:solidFill>
                <a:sysClr val="windowText" lastClr="000000"/>
              </a:solidFill>
              <a:latin typeface="Calibri"/>
            </a:endParaRPr>
          </a:p>
        </cx:txPr>
      </cx:axis>
      <cx:axis id="1" hidden="1">
        <cx:valScaling/>
        <cx:tickLabels/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18377</xdr:colOff>
      <xdr:row>13</xdr:row>
      <xdr:rowOff>64152</xdr:rowOff>
    </xdr:from>
    <xdr:to>
      <xdr:col>14</xdr:col>
      <xdr:colOff>1047750</xdr:colOff>
      <xdr:row>27</xdr:row>
      <xdr:rowOff>172009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2425E90-227F-4A28-AB76-05C06BB6CE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71577" y="2441592"/>
              <a:ext cx="9502813" cy="26681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L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19050</xdr:colOff>
      <xdr:row>24</xdr:row>
      <xdr:rowOff>105769</xdr:rowOff>
    </xdr:from>
    <xdr:to>
      <xdr:col>13</xdr:col>
      <xdr:colOff>1037231</xdr:colOff>
      <xdr:row>24</xdr:row>
      <xdr:rowOff>105769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61E8FEB-5E89-481A-AA9F-23E60D0E9537}"/>
            </a:ext>
          </a:extLst>
        </xdr:cNvPr>
        <xdr:cNvCxnSpPr/>
      </xdr:nvCxnSpPr>
      <xdr:spPr>
        <a:xfrm>
          <a:off x="7631430" y="4494889"/>
          <a:ext cx="7373261" cy="0"/>
        </a:xfrm>
        <a:prstGeom prst="straightConnector1">
          <a:avLst/>
        </a:prstGeom>
        <a:ln>
          <a:solidFill>
            <a:sysClr val="windowText" lastClr="000000"/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200687</xdr:colOff>
      <xdr:row>23</xdr:row>
      <xdr:rowOff>41412</xdr:rowOff>
    </xdr:from>
    <xdr:to>
      <xdr:col>10</xdr:col>
      <xdr:colOff>1047418</xdr:colOff>
      <xdr:row>24</xdr:row>
      <xdr:rowOff>82826</xdr:rowOff>
    </xdr:to>
    <xdr:sp macro="" textlink="$Q$31">
      <xdr:nvSpPr>
        <xdr:cNvPr id="4" name="Rectangle 3">
          <a:extLst>
            <a:ext uri="{FF2B5EF4-FFF2-40B4-BE49-F238E27FC236}">
              <a16:creationId xmlns:a16="http://schemas.microsoft.com/office/drawing/2014/main" id="{333889A8-AC01-4731-B130-7AF249B899E6}"/>
            </a:ext>
          </a:extLst>
        </xdr:cNvPr>
        <xdr:cNvSpPr/>
      </xdr:nvSpPr>
      <xdr:spPr>
        <a:xfrm>
          <a:off x="10990607" y="4247652"/>
          <a:ext cx="846731" cy="2242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6F493A0-E801-419C-8B86-156F562E81A2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143,000</a:t>
          </a:fld>
          <a:endParaRPr lang="en-N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8BEC1-B08E-4897-9527-4F083726D6E0}">
  <sheetPr>
    <tabColor rgb="FF99FF66"/>
  </sheetPr>
  <dimension ref="A1:Q44"/>
  <sheetViews>
    <sheetView showGridLines="0" tabSelected="1" zoomScale="85" zoomScaleNormal="85" workbookViewId="0">
      <selection activeCell="I7" sqref="I7"/>
    </sheetView>
  </sheetViews>
  <sheetFormatPr defaultRowHeight="14.4" outlineLevelRow="1" x14ac:dyDescent="0.3"/>
  <cols>
    <col min="1" max="1" width="19.88671875" customWidth="1"/>
    <col min="2" max="4" width="17.6640625" customWidth="1"/>
    <col min="6" max="6" width="13.77734375" bestFit="1" customWidth="1"/>
    <col min="7" max="15" width="15.44140625" customWidth="1"/>
    <col min="16" max="16" width="2.6640625" customWidth="1"/>
    <col min="17" max="17" width="15.44140625" customWidth="1"/>
  </cols>
  <sheetData>
    <row r="1" spans="1:4" x14ac:dyDescent="0.3">
      <c r="A1" s="1" t="s">
        <v>86</v>
      </c>
      <c r="B1" s="1" t="s">
        <v>20</v>
      </c>
      <c r="C1" s="1" t="s">
        <v>87</v>
      </c>
      <c r="D1" s="1" t="s">
        <v>88</v>
      </c>
    </row>
    <row r="2" spans="1:4" x14ac:dyDescent="0.3">
      <c r="A2" s="2" t="s">
        <v>89</v>
      </c>
      <c r="B2" s="2" t="s">
        <v>90</v>
      </c>
      <c r="C2" s="3" t="s">
        <v>91</v>
      </c>
      <c r="D2" s="4">
        <v>150000</v>
      </c>
    </row>
    <row r="3" spans="1:4" x14ac:dyDescent="0.3">
      <c r="A3" s="5" t="s">
        <v>92</v>
      </c>
      <c r="B3" s="5" t="s">
        <v>1</v>
      </c>
      <c r="C3" s="5" t="s">
        <v>93</v>
      </c>
      <c r="D3" s="6">
        <v>130000</v>
      </c>
    </row>
    <row r="4" spans="1:4" x14ac:dyDescent="0.3">
      <c r="A4" s="5" t="s">
        <v>94</v>
      </c>
      <c r="B4" s="5" t="s">
        <v>1</v>
      </c>
      <c r="C4" s="5" t="s">
        <v>95</v>
      </c>
      <c r="D4" s="6">
        <v>30000</v>
      </c>
    </row>
    <row r="5" spans="1:4" x14ac:dyDescent="0.3">
      <c r="A5" s="5" t="s">
        <v>96</v>
      </c>
      <c r="B5" s="5" t="s">
        <v>1</v>
      </c>
      <c r="C5" s="5" t="s">
        <v>95</v>
      </c>
      <c r="D5" s="6">
        <v>25000</v>
      </c>
    </row>
    <row r="6" spans="1:4" x14ac:dyDescent="0.3">
      <c r="A6" s="5" t="s">
        <v>97</v>
      </c>
      <c r="B6" s="5" t="s">
        <v>1</v>
      </c>
      <c r="C6" s="5" t="s">
        <v>95</v>
      </c>
      <c r="D6" s="6">
        <v>25000</v>
      </c>
    </row>
    <row r="7" spans="1:4" x14ac:dyDescent="0.3">
      <c r="A7" s="5" t="s">
        <v>98</v>
      </c>
      <c r="B7" s="5" t="s">
        <v>1</v>
      </c>
      <c r="C7" s="5" t="s">
        <v>99</v>
      </c>
      <c r="D7" s="6">
        <v>40000</v>
      </c>
    </row>
    <row r="8" spans="1:4" x14ac:dyDescent="0.3">
      <c r="A8" s="5" t="s">
        <v>100</v>
      </c>
      <c r="B8" s="5" t="s">
        <v>1</v>
      </c>
      <c r="C8" s="5" t="s">
        <v>99</v>
      </c>
      <c r="D8" s="6">
        <v>15000</v>
      </c>
    </row>
    <row r="9" spans="1:4" x14ac:dyDescent="0.3">
      <c r="A9" s="5" t="s">
        <v>101</v>
      </c>
      <c r="B9" s="5" t="s">
        <v>1</v>
      </c>
      <c r="C9" s="5" t="s">
        <v>99</v>
      </c>
      <c r="D9" s="6">
        <v>15000</v>
      </c>
    </row>
    <row r="10" spans="1:4" x14ac:dyDescent="0.3">
      <c r="A10" s="5" t="s">
        <v>102</v>
      </c>
      <c r="B10" s="5" t="s">
        <v>1</v>
      </c>
      <c r="C10" s="5" t="s">
        <v>99</v>
      </c>
      <c r="D10" s="6">
        <v>10000</v>
      </c>
    </row>
    <row r="11" spans="1:4" x14ac:dyDescent="0.3">
      <c r="A11" s="5" t="s">
        <v>103</v>
      </c>
      <c r="B11" s="5" t="s">
        <v>104</v>
      </c>
      <c r="C11" s="5" t="s">
        <v>105</v>
      </c>
      <c r="D11" s="6">
        <v>-20000</v>
      </c>
    </row>
    <row r="12" spans="1:4" x14ac:dyDescent="0.3">
      <c r="A12" s="5" t="s">
        <v>106</v>
      </c>
      <c r="B12" s="5" t="s">
        <v>104</v>
      </c>
      <c r="C12" s="5" t="s">
        <v>107</v>
      </c>
      <c r="D12" s="6">
        <v>-20000</v>
      </c>
    </row>
    <row r="13" spans="1:4" x14ac:dyDescent="0.3">
      <c r="A13" s="5" t="s">
        <v>108</v>
      </c>
      <c r="B13" s="5" t="s">
        <v>104</v>
      </c>
      <c r="C13" s="5" t="s">
        <v>107</v>
      </c>
      <c r="D13" s="6">
        <v>-10000</v>
      </c>
    </row>
    <row r="14" spans="1:4" x14ac:dyDescent="0.3">
      <c r="A14" s="5" t="s">
        <v>109</v>
      </c>
      <c r="B14" s="5" t="s">
        <v>110</v>
      </c>
      <c r="C14" s="5" t="s">
        <v>110</v>
      </c>
      <c r="D14" s="6">
        <v>-15000</v>
      </c>
    </row>
    <row r="15" spans="1:4" x14ac:dyDescent="0.3">
      <c r="A15" s="5" t="s">
        <v>111</v>
      </c>
      <c r="B15" s="5" t="s">
        <v>110</v>
      </c>
      <c r="C15" s="5" t="s">
        <v>110</v>
      </c>
      <c r="D15" s="6">
        <v>-10000</v>
      </c>
    </row>
    <row r="16" spans="1:4" x14ac:dyDescent="0.3">
      <c r="A16" s="5" t="s">
        <v>112</v>
      </c>
      <c r="B16" s="5" t="s">
        <v>110</v>
      </c>
      <c r="C16" s="5" t="s">
        <v>110</v>
      </c>
      <c r="D16" s="6">
        <v>-5000</v>
      </c>
    </row>
    <row r="17" spans="1:17" x14ac:dyDescent="0.3">
      <c r="A17" s="5" t="s">
        <v>113</v>
      </c>
      <c r="B17" s="5" t="s">
        <v>114</v>
      </c>
      <c r="C17" s="5" t="s">
        <v>114</v>
      </c>
      <c r="D17" s="6">
        <v>-8000</v>
      </c>
    </row>
    <row r="18" spans="1:17" x14ac:dyDescent="0.3">
      <c r="A18" s="5" t="s">
        <v>115</v>
      </c>
      <c r="B18" s="5" t="s">
        <v>114</v>
      </c>
      <c r="C18" s="5" t="s">
        <v>114</v>
      </c>
      <c r="D18" s="6">
        <v>-4000</v>
      </c>
    </row>
    <row r="19" spans="1:17" x14ac:dyDescent="0.3">
      <c r="A19" s="5" t="s">
        <v>116</v>
      </c>
      <c r="B19" s="5" t="s">
        <v>114</v>
      </c>
      <c r="C19" s="5" t="s">
        <v>114</v>
      </c>
      <c r="D19" s="6">
        <v>-3000</v>
      </c>
    </row>
    <row r="20" spans="1:17" x14ac:dyDescent="0.3">
      <c r="A20" s="5" t="s">
        <v>117</v>
      </c>
      <c r="B20" s="5" t="s">
        <v>118</v>
      </c>
      <c r="C20" s="5" t="s">
        <v>118</v>
      </c>
      <c r="D20" s="6">
        <v>-10000</v>
      </c>
    </row>
    <row r="21" spans="1:17" x14ac:dyDescent="0.3">
      <c r="A21" s="5" t="s">
        <v>119</v>
      </c>
      <c r="B21" s="5" t="s">
        <v>118</v>
      </c>
      <c r="C21" s="5" t="s">
        <v>118</v>
      </c>
      <c r="D21" s="6">
        <v>-5000</v>
      </c>
    </row>
    <row r="22" spans="1:17" x14ac:dyDescent="0.3">
      <c r="A22" s="5" t="s">
        <v>120</v>
      </c>
      <c r="B22" s="5" t="s">
        <v>118</v>
      </c>
      <c r="C22" s="5" t="s">
        <v>118</v>
      </c>
      <c r="D22" s="6">
        <v>-5000</v>
      </c>
    </row>
    <row r="23" spans="1:17" x14ac:dyDescent="0.3">
      <c r="A23" s="5" t="s">
        <v>121</v>
      </c>
      <c r="B23" s="5" t="s">
        <v>121</v>
      </c>
      <c r="C23" s="5" t="s">
        <v>121</v>
      </c>
      <c r="D23" s="6">
        <v>-10000</v>
      </c>
    </row>
    <row r="24" spans="1:17" x14ac:dyDescent="0.3">
      <c r="A24" s="5" t="s">
        <v>122</v>
      </c>
      <c r="B24" s="5" t="s">
        <v>121</v>
      </c>
      <c r="C24" s="5" t="s">
        <v>121</v>
      </c>
      <c r="D24" s="6">
        <v>-6000</v>
      </c>
    </row>
    <row r="25" spans="1:17" x14ac:dyDescent="0.3">
      <c r="A25" s="5" t="s">
        <v>123</v>
      </c>
      <c r="B25" s="5" t="s">
        <v>121</v>
      </c>
      <c r="C25" s="5" t="s">
        <v>121</v>
      </c>
      <c r="D25" s="6">
        <v>-4000</v>
      </c>
    </row>
    <row r="26" spans="1:17" x14ac:dyDescent="0.3">
      <c r="A26" s="5" t="s">
        <v>124</v>
      </c>
      <c r="B26" s="5" t="s">
        <v>125</v>
      </c>
      <c r="C26" s="5" t="s">
        <v>125</v>
      </c>
      <c r="D26" s="6">
        <v>-8000</v>
      </c>
    </row>
    <row r="27" spans="1:17" x14ac:dyDescent="0.3">
      <c r="A27" s="5" t="s">
        <v>126</v>
      </c>
      <c r="B27" s="5" t="s">
        <v>125</v>
      </c>
      <c r="C27" s="5" t="s">
        <v>125</v>
      </c>
      <c r="D27" s="6">
        <v>-4000</v>
      </c>
    </row>
    <row r="30" spans="1:17" ht="28.8" x14ac:dyDescent="0.3">
      <c r="G30" s="1" t="s">
        <v>90</v>
      </c>
      <c r="H30" s="1" t="s">
        <v>1</v>
      </c>
      <c r="I30" s="1" t="s">
        <v>104</v>
      </c>
      <c r="J30" s="1" t="s">
        <v>110</v>
      </c>
      <c r="K30" s="1" t="s">
        <v>114</v>
      </c>
      <c r="L30" s="1" t="s">
        <v>118</v>
      </c>
      <c r="M30" s="1" t="s">
        <v>121</v>
      </c>
      <c r="N30" s="1" t="s">
        <v>125</v>
      </c>
      <c r="O30" s="1" t="s">
        <v>127</v>
      </c>
      <c r="Q30" s="1" t="s">
        <v>128</v>
      </c>
    </row>
    <row r="31" spans="1:17" x14ac:dyDescent="0.3">
      <c r="G31" s="7">
        <f>SUMIFS('Waterfall Chart Done'!$D:$D,'Waterfall Chart Done'!$B:$B,'Waterfall Chart Done'!G$30)</f>
        <v>150000</v>
      </c>
      <c r="H31" s="7">
        <f>SUMIFS('Waterfall Chart Done'!$D:$D,'Waterfall Chart Done'!$B:$B,'Waterfall Chart Done'!H$30)</f>
        <v>290000</v>
      </c>
      <c r="I31" s="7">
        <f>SUMIFS('Waterfall Chart Done'!$D:$D,'Waterfall Chart Done'!$B:$B,'Waterfall Chart Done'!I$30)</f>
        <v>-50000</v>
      </c>
      <c r="J31" s="7">
        <f>SUMIFS('Waterfall Chart Done'!$D:$D,'Waterfall Chart Done'!$B:$B,'Waterfall Chart Done'!J$30)</f>
        <v>-30000</v>
      </c>
      <c r="K31" s="7">
        <f>SUMIFS('Waterfall Chart Done'!$D:$D,'Waterfall Chart Done'!$B:$B,'Waterfall Chart Done'!K$30)</f>
        <v>-15000</v>
      </c>
      <c r="L31" s="7">
        <f>SUMIFS('Waterfall Chart Done'!$D:$D,'Waterfall Chart Done'!$B:$B,'Waterfall Chart Done'!L$30)</f>
        <v>-20000</v>
      </c>
      <c r="M31" s="7">
        <f>SUMIFS('Waterfall Chart Done'!$D:$D,'Waterfall Chart Done'!$B:$B,'Waterfall Chart Done'!M$30)</f>
        <v>-20000</v>
      </c>
      <c r="N31" s="7">
        <f>SUMIFS('Waterfall Chart Done'!$D:$D,'Waterfall Chart Done'!$B:$B,'Waterfall Chart Done'!N$30)</f>
        <v>-12000</v>
      </c>
      <c r="O31" s="7">
        <f>SUM(G31:N31)</f>
        <v>293000</v>
      </c>
      <c r="Q31" s="7">
        <f>O31-G31</f>
        <v>143000</v>
      </c>
    </row>
    <row r="33" spans="6:9" outlineLevel="1" x14ac:dyDescent="0.3">
      <c r="F33" s="5" t="s">
        <v>93</v>
      </c>
      <c r="H33" s="8">
        <f>SUMIFS($D:$D,$C:$C,$F33)</f>
        <v>130000</v>
      </c>
    </row>
    <row r="34" spans="6:9" outlineLevel="1" x14ac:dyDescent="0.3">
      <c r="F34" s="5" t="s">
        <v>95</v>
      </c>
      <c r="H34" s="8">
        <f>SUMIFS($D:$D,$C:$C,$F34)</f>
        <v>80000</v>
      </c>
    </row>
    <row r="35" spans="6:9" outlineLevel="1" x14ac:dyDescent="0.3">
      <c r="F35" s="5" t="s">
        <v>99</v>
      </c>
      <c r="H35" s="8">
        <f>SUMIFS($D:$D,$C:$C,$F35)</f>
        <v>80000</v>
      </c>
    </row>
    <row r="36" spans="6:9" outlineLevel="1" x14ac:dyDescent="0.3"/>
    <row r="37" spans="6:9" outlineLevel="1" x14ac:dyDescent="0.3">
      <c r="F37" s="5" t="s">
        <v>105</v>
      </c>
      <c r="I37" s="8">
        <f>SUMIFS($D:$D,$C:$C,$F37)</f>
        <v>-20000</v>
      </c>
    </row>
    <row r="38" spans="6:9" outlineLevel="1" x14ac:dyDescent="0.3">
      <c r="F38" s="5" t="s">
        <v>107</v>
      </c>
      <c r="I38" s="8">
        <f>SUMIFS($D:$D,$C:$C,$F38)</f>
        <v>-30000</v>
      </c>
    </row>
    <row r="44" spans="6:9" x14ac:dyDescent="0.3">
      <c r="H44" t="s">
        <v>129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0DE91-0A50-439F-86E3-289333D0D910}">
  <sheetPr>
    <tabColor theme="1"/>
  </sheetPr>
  <dimension ref="A1"/>
  <sheetViews>
    <sheetView view="pageBreakPreview" zoomScale="60" zoomScaleNormal="100" workbookViewId="0">
      <selection activeCell="L22" sqref="L22"/>
    </sheetView>
  </sheetViews>
  <sheetFormatPr defaultRowHeight="14.4" x14ac:dyDescent="0.3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34998626667073579"/>
  </sheetPr>
  <dimension ref="A1:H13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115</v>
      </c>
      <c r="C2">
        <v>107</v>
      </c>
      <c r="D2">
        <v>118</v>
      </c>
      <c r="E2">
        <v>0.28199999999999997</v>
      </c>
      <c r="F2">
        <v>0.26900000000000002</v>
      </c>
      <c r="G2">
        <v>36</v>
      </c>
      <c r="H2">
        <v>35</v>
      </c>
    </row>
    <row r="3" spans="1:8" x14ac:dyDescent="0.3">
      <c r="A3" t="s">
        <v>9</v>
      </c>
      <c r="B3">
        <v>92</v>
      </c>
      <c r="C3">
        <v>97</v>
      </c>
      <c r="D3">
        <v>95</v>
      </c>
      <c r="E3">
        <v>0.26700000000000002</v>
      </c>
      <c r="F3">
        <v>0.28599999999999998</v>
      </c>
      <c r="G3">
        <v>29</v>
      </c>
      <c r="H3">
        <v>26</v>
      </c>
    </row>
    <row r="4" spans="1:8" x14ac:dyDescent="0.3">
      <c r="A4" t="s">
        <v>10</v>
      </c>
      <c r="B4">
        <v>97</v>
      </c>
      <c r="C4">
        <v>95</v>
      </c>
      <c r="D4">
        <v>99</v>
      </c>
      <c r="E4">
        <v>0.27</v>
      </c>
      <c r="F4">
        <v>0.28000000000000003</v>
      </c>
      <c r="G4">
        <v>35</v>
      </c>
      <c r="H4">
        <v>32</v>
      </c>
    </row>
    <row r="5" spans="1:8" x14ac:dyDescent="0.3">
      <c r="A5" t="s">
        <v>11</v>
      </c>
      <c r="B5">
        <v>90</v>
      </c>
      <c r="C5">
        <v>95</v>
      </c>
      <c r="D5">
        <v>93</v>
      </c>
      <c r="E5">
        <v>0.28199999999999997</v>
      </c>
      <c r="F5">
        <v>0.28399999999999997</v>
      </c>
      <c r="G5">
        <v>24</v>
      </c>
      <c r="H5">
        <v>27</v>
      </c>
    </row>
    <row r="6" spans="1:8" x14ac:dyDescent="0.3">
      <c r="A6" t="s">
        <v>12</v>
      </c>
      <c r="B6">
        <v>108</v>
      </c>
      <c r="C6">
        <v>110</v>
      </c>
      <c r="D6">
        <v>108</v>
      </c>
      <c r="E6">
        <v>0.30399999999999999</v>
      </c>
      <c r="F6">
        <v>0.29399999999999998</v>
      </c>
      <c r="G6">
        <v>25</v>
      </c>
      <c r="H6">
        <v>27</v>
      </c>
    </row>
    <row r="7" spans="1:8" x14ac:dyDescent="0.3">
      <c r="A7" t="s">
        <v>13</v>
      </c>
      <c r="B7">
        <v>97</v>
      </c>
      <c r="C7">
        <v>99</v>
      </c>
      <c r="D7">
        <v>93</v>
      </c>
      <c r="E7">
        <v>0.23899999999999999</v>
      </c>
      <c r="F7">
        <v>0.25700000000000001</v>
      </c>
      <c r="G7">
        <v>24</v>
      </c>
      <c r="H7">
        <v>27</v>
      </c>
    </row>
    <row r="8" spans="1:8" x14ac:dyDescent="0.3">
      <c r="A8" t="s">
        <v>14</v>
      </c>
      <c r="B8">
        <v>94</v>
      </c>
      <c r="C8">
        <v>91</v>
      </c>
      <c r="D8">
        <v>94</v>
      </c>
      <c r="E8">
        <v>0.25600000000000001</v>
      </c>
      <c r="F8">
        <v>0.27200000000000002</v>
      </c>
      <c r="G8">
        <v>35</v>
      </c>
      <c r="H8">
        <v>31</v>
      </c>
    </row>
    <row r="9" spans="1:8" x14ac:dyDescent="0.3">
      <c r="A9" t="s">
        <v>15</v>
      </c>
      <c r="B9">
        <v>113</v>
      </c>
      <c r="C9">
        <v>105</v>
      </c>
      <c r="D9">
        <v>110</v>
      </c>
      <c r="E9">
        <v>0.27100000000000002</v>
      </c>
      <c r="F9">
        <v>0.27200000000000002</v>
      </c>
      <c r="G9">
        <v>30</v>
      </c>
      <c r="H9">
        <v>30</v>
      </c>
    </row>
    <row r="10" spans="1:8" x14ac:dyDescent="0.3">
      <c r="A10" t="s">
        <v>16</v>
      </c>
      <c r="B10">
        <v>96</v>
      </c>
      <c r="C10">
        <v>94</v>
      </c>
      <c r="D10">
        <v>100</v>
      </c>
      <c r="E10">
        <v>0.249</v>
      </c>
      <c r="F10">
        <v>0.26700000000000002</v>
      </c>
      <c r="G10">
        <v>24</v>
      </c>
      <c r="H10">
        <v>25</v>
      </c>
    </row>
    <row r="11" spans="1:8" x14ac:dyDescent="0.3">
      <c r="A11" t="s">
        <v>17</v>
      </c>
      <c r="B11">
        <v>105</v>
      </c>
      <c r="C11">
        <v>109</v>
      </c>
      <c r="D11">
        <v>104</v>
      </c>
      <c r="E11">
        <v>0.29899999999999999</v>
      </c>
      <c r="F11">
        <v>0.29899999999999999</v>
      </c>
      <c r="G11">
        <v>34</v>
      </c>
      <c r="H11">
        <v>35</v>
      </c>
    </row>
    <row r="12" spans="1:8" x14ac:dyDescent="0.3">
      <c r="A12" t="s">
        <v>18</v>
      </c>
      <c r="B12">
        <v>115</v>
      </c>
      <c r="C12">
        <v>110</v>
      </c>
      <c r="D12">
        <v>115</v>
      </c>
      <c r="E12">
        <v>0.254</v>
      </c>
      <c r="F12">
        <v>0.27100000000000002</v>
      </c>
      <c r="G12">
        <v>27</v>
      </c>
      <c r="H12">
        <v>30</v>
      </c>
    </row>
    <row r="13" spans="1:8" x14ac:dyDescent="0.3">
      <c r="A13" t="s">
        <v>19</v>
      </c>
      <c r="B13">
        <v>102</v>
      </c>
      <c r="C13">
        <v>102</v>
      </c>
      <c r="D13">
        <v>98</v>
      </c>
      <c r="E13">
        <v>0.30099999999999999</v>
      </c>
      <c r="F13">
        <v>0.29399999999999998</v>
      </c>
      <c r="G13">
        <v>28</v>
      </c>
      <c r="H13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 tint="0.34998626667073579"/>
  </sheetPr>
  <dimension ref="A1:C10"/>
  <sheetViews>
    <sheetView workbookViewId="0"/>
  </sheetViews>
  <sheetFormatPr defaultRowHeight="14.4" x14ac:dyDescent="0.3"/>
  <sheetData>
    <row r="1" spans="1:3" x14ac:dyDescent="0.3">
      <c r="A1" t="s">
        <v>20</v>
      </c>
      <c r="B1" t="s">
        <v>21</v>
      </c>
      <c r="C1" t="s">
        <v>22</v>
      </c>
    </row>
    <row r="2" spans="1:3" x14ac:dyDescent="0.3">
      <c r="A2" t="s">
        <v>23</v>
      </c>
      <c r="B2" t="s">
        <v>24</v>
      </c>
      <c r="C2" t="s">
        <v>25</v>
      </c>
    </row>
    <row r="3" spans="1:3" x14ac:dyDescent="0.3">
      <c r="A3" t="s">
        <v>23</v>
      </c>
      <c r="B3" t="s">
        <v>26</v>
      </c>
      <c r="C3" t="s">
        <v>27</v>
      </c>
    </row>
    <row r="4" spans="1:3" x14ac:dyDescent="0.3">
      <c r="A4" t="s">
        <v>23</v>
      </c>
      <c r="B4" t="s">
        <v>28</v>
      </c>
      <c r="C4" t="s">
        <v>29</v>
      </c>
    </row>
    <row r="5" spans="1:3" x14ac:dyDescent="0.3">
      <c r="A5" t="s">
        <v>30</v>
      </c>
      <c r="B5" t="s">
        <v>31</v>
      </c>
      <c r="C5" t="s">
        <v>32</v>
      </c>
    </row>
    <row r="6" spans="1:3" x14ac:dyDescent="0.3">
      <c r="A6" t="s">
        <v>30</v>
      </c>
      <c r="B6" t="s">
        <v>33</v>
      </c>
      <c r="C6" t="s">
        <v>34</v>
      </c>
    </row>
    <row r="7" spans="1:3" x14ac:dyDescent="0.3">
      <c r="A7" t="s">
        <v>30</v>
      </c>
      <c r="B7" t="s">
        <v>35</v>
      </c>
      <c r="C7" t="s">
        <v>36</v>
      </c>
    </row>
    <row r="8" spans="1:3" x14ac:dyDescent="0.3">
      <c r="A8" t="s">
        <v>37</v>
      </c>
      <c r="B8" t="s">
        <v>38</v>
      </c>
    </row>
    <row r="9" spans="1:3" x14ac:dyDescent="0.3">
      <c r="A9" t="s">
        <v>37</v>
      </c>
      <c r="B9" t="s">
        <v>39</v>
      </c>
    </row>
    <row r="10" spans="1:3" x14ac:dyDescent="0.3">
      <c r="A10" t="s">
        <v>37</v>
      </c>
      <c r="B10" t="s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0.34998626667073579"/>
  </sheetPr>
  <dimension ref="A1:C2"/>
  <sheetViews>
    <sheetView workbookViewId="0"/>
  </sheetViews>
  <sheetFormatPr defaultRowHeight="14.4" x14ac:dyDescent="0.3"/>
  <sheetData>
    <row r="1" spans="1:3" x14ac:dyDescent="0.3">
      <c r="A1" t="s">
        <v>41</v>
      </c>
      <c r="B1" t="s">
        <v>42</v>
      </c>
      <c r="C1" t="s">
        <v>43</v>
      </c>
    </row>
    <row r="2" spans="1:3" x14ac:dyDescent="0.3">
      <c r="A2" t="s">
        <v>44</v>
      </c>
      <c r="B2" t="s">
        <v>45</v>
      </c>
      <c r="C2" t="s">
        <v>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 tint="0.34998626667073579"/>
  </sheetPr>
  <dimension ref="A1:J2"/>
  <sheetViews>
    <sheetView workbookViewId="0"/>
  </sheetViews>
  <sheetFormatPr defaultRowHeight="14.4" x14ac:dyDescent="0.3"/>
  <sheetData>
    <row r="1" spans="1:10" x14ac:dyDescent="0.3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</row>
    <row r="2" spans="1:10" x14ac:dyDescent="0.3">
      <c r="A2">
        <v>52</v>
      </c>
      <c r="B2">
        <v>-3</v>
      </c>
      <c r="C2">
        <v>5</v>
      </c>
      <c r="D2">
        <v>1</v>
      </c>
      <c r="E2">
        <v>-4</v>
      </c>
      <c r="F2">
        <v>3</v>
      </c>
      <c r="G2">
        <v>-1</v>
      </c>
      <c r="H2">
        <v>-2</v>
      </c>
      <c r="I2">
        <v>1</v>
      </c>
      <c r="J2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0.34998626667073579"/>
  </sheetPr>
  <dimension ref="A1:E5"/>
  <sheetViews>
    <sheetView workbookViewId="0"/>
  </sheetViews>
  <sheetFormatPr defaultRowHeight="14.4" x14ac:dyDescent="0.3"/>
  <sheetData>
    <row r="1" spans="1:5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</row>
    <row r="2" spans="1:5" x14ac:dyDescent="0.3">
      <c r="A2" t="s">
        <v>62</v>
      </c>
      <c r="B2" t="s">
        <v>63</v>
      </c>
      <c r="C2" t="s">
        <v>64</v>
      </c>
      <c r="D2" t="s">
        <v>65</v>
      </c>
      <c r="E2" t="s">
        <v>66</v>
      </c>
    </row>
    <row r="3" spans="1:5" x14ac:dyDescent="0.3">
      <c r="B3" t="s">
        <v>67</v>
      </c>
      <c r="C3" t="s">
        <v>68</v>
      </c>
      <c r="D3" t="s">
        <v>69</v>
      </c>
      <c r="E3" t="s">
        <v>70</v>
      </c>
    </row>
    <row r="4" spans="1:5" x14ac:dyDescent="0.3">
      <c r="B4" t="s">
        <v>71</v>
      </c>
      <c r="C4" t="s">
        <v>72</v>
      </c>
      <c r="D4" t="s">
        <v>68</v>
      </c>
      <c r="E4" t="s">
        <v>73</v>
      </c>
    </row>
    <row r="5" spans="1:5" x14ac:dyDescent="0.3">
      <c r="B5" t="s">
        <v>74</v>
      </c>
      <c r="C5" t="s">
        <v>75</v>
      </c>
      <c r="D5" t="s">
        <v>76</v>
      </c>
      <c r="E5" t="s">
        <v>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 tint="0.34998626667073579"/>
  </sheetPr>
  <dimension ref="A1:D2"/>
  <sheetViews>
    <sheetView workbookViewId="0"/>
  </sheetViews>
  <sheetFormatPr defaultRowHeight="14.4" x14ac:dyDescent="0.3"/>
  <sheetData>
    <row r="1" spans="1:4" x14ac:dyDescent="0.3">
      <c r="A1" t="s">
        <v>78</v>
      </c>
      <c r="B1" t="s">
        <v>79</v>
      </c>
      <c r="C1" t="s">
        <v>80</v>
      </c>
      <c r="D1" t="s">
        <v>81</v>
      </c>
    </row>
    <row r="2" spans="1:4" x14ac:dyDescent="0.3">
      <c r="A2" t="s">
        <v>82</v>
      </c>
      <c r="B2" t="s">
        <v>83</v>
      </c>
      <c r="C2" t="s">
        <v>84</v>
      </c>
      <c r="D2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Waterfall Chart Done</vt:lpstr>
      <vt:lpstr>Datasets→</vt:lpstr>
      <vt:lpstr>AIR_Framework</vt:lpstr>
      <vt:lpstr>3x3_Variance</vt:lpstr>
      <vt:lpstr>FP&amp;A_Pyramid</vt:lpstr>
      <vt:lpstr>Driver_Bridge</vt:lpstr>
      <vt:lpstr>CFO_Decision</vt:lpstr>
      <vt:lpstr>Forecast_Story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M</cp:lastModifiedBy>
  <dcterms:created xsi:type="dcterms:W3CDTF">2025-11-16T19:46:27Z</dcterms:created>
  <dcterms:modified xsi:type="dcterms:W3CDTF">2025-11-16T19:50:16Z</dcterms:modified>
</cp:coreProperties>
</file>