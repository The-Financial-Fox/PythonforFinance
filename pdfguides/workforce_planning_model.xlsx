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58f1160f2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929eacc80e834441"/>
    <x:sheet xmlns:r="http://schemas.openxmlformats.org/officeDocument/2006/relationships" name="Hiring Plan" sheetId="2" r:id="R305237d1ba434c64"/>
    <x:sheet xmlns:r="http://schemas.openxmlformats.org/officeDocument/2006/relationships" name="Model" sheetId="3" r:id="R29e6ff7aa7a642a6"/>
    <x:sheet xmlns:r="http://schemas.openxmlformats.org/officeDocument/2006/relationships" name="Summary" sheetId="4" r:id="R6ff960f2c0f0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 h:mm:ss"/>
    <x:numFmt numFmtId="165" formatCode="yyyy-mm-dd"/>
    <x:numFmt numFmtId="166" formatCode="#,##0_);(#,##0);&quot;-&quot;;@"/>
    <x:numFmt numFmtId="167" formatCode="0.0%"/>
    <x:numFmt numFmtId="168" formatCode="$#,##0_);[Red]($#,##0);&quot;-&quot;;@"/>
    <x:numFmt numFmtId="169" formatCode="0.000"/>
  </x:numFmts>
  <x:fonts count="13">
    <x:font>
      <x:sz val="11"/>
      <x:color theme="1"/>
      <x:name val="Calibri"/>
      <x:family val="2"/>
      <x:scheme val="minor"/>
    </x:font>
    <x:font>
      <x:b/>
      <x:sz val="16"/>
      <x:color rgb="00FFFFFF"/>
      <x:name val="Calibri"/>
    </x:font>
    <x:font>
      <x:b/>
      <x:sz val="11"/>
      <x:color rgb="00000000"/>
      <x:name val="Calibri"/>
    </x:font>
    <x:font>
      <x:sz val="11"/>
      <x:color rgb="000000FF"/>
      <x:name val="Calibri"/>
    </x:font>
    <x:font>
      <x:b/>
      <x:sz val="11"/>
      <x:color rgb="00FFFFFF"/>
      <x:name val="Calibri"/>
    </x:font>
    <x:font>
      <x:sz val="11"/>
      <x:color rgb="00000000"/>
      <x:name val="Calibri"/>
    </x:font>
    <x:font>
      <x:b/>
      <x:color rgb="00404040"/>
    </x:font>
    <x:font>
      <x:color rgb="00808080"/>
    </x:font>
    <x:font>
      <x:b/>
      <x:sz val="12"/>
      <x:color rgb="00FFFFFF"/>
    </x:font>
    <x:font>
      <x:b/>
    </x:font>
    <x:font>
      <x:b/>
      <x:sz val="12"/>
    </x:font>
    <x:font>
      <x:b/>
      <x:color rgb="001F4E79"/>
    </x:font>
    <x:font>
      <x:b/>
      <x:sz val="14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FF2CC"/>
      </x:patternFill>
    </x:fill>
    <x:fill>
      <x:patternFill patternType="solid">
        <x:fgColor rgb="00D9E1F2"/>
      </x:patternFill>
    </x:fill>
    <x:fill>
      <x:patternFill patternType="solid">
        <x:fgColor rgb="00F2F2F2"/>
      </x:patternFill>
    </x:fill>
    <x:fill>
      <x:patternFill patternType="solid">
        <x:fgColor rgb="00305496"/>
      </x:patternFill>
    </x:fill>
    <x:fill>
      <x:patternFill patternType="solid">
        <x:fgColor rgb="00E2EFDA"/>
      </x:patternFill>
    </x:fill>
  </x:fills>
  <x:borders count="2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165" fontId="3" fillId="3" borderId="1" xfId="0" applyAlignment="1">
      <x:alignment horizontal="left" vertical="center"/>
    </x:xf>
    <x:xf numFmtId="0" fontId="2" fillId="0" borderId="0" xfId="0"/>
    <x:xf numFmtId="166" fontId="3" fillId="3" borderId="1" xfId="0" applyAlignment="1">
      <x:alignment horizontal="left" vertical="center"/>
    </x:xf>
    <x:xf numFmtId="0" fontId="0" fillId="0" borderId="0" xfId="0" applyAlignment="1">
      <x:alignment horizontal="left" vertical="center" wrapText="1"/>
    </x:xf>
    <x:xf numFmtId="167" fontId="3" fillId="3" borderId="1" xfId="0" applyAlignment="1">
      <x:alignment horizontal="left" vertical="center"/>
    </x:xf>
    <x:xf numFmtId="0" fontId="3" fillId="3" borderId="1" xfId="0" applyAlignment="1">
      <x:alignment horizontal="left" vertical="center"/>
    </x:xf>
    <x:xf numFmtId="0" fontId="4" fillId="2" borderId="1" xfId="0" applyAlignment="1">
      <x:alignment horizontal="center" vertical="center"/>
    </x:xf>
    <x:xf numFmtId="166" fontId="3" fillId="3" borderId="1" xfId="0" applyAlignment="1">
      <x:alignment horizontal="right" vertical="center"/>
    </x:xf>
    <x:xf numFmtId="167" fontId="3" fillId="3" borderId="1" xfId="0" applyAlignment="1">
      <x:alignment horizontal="right" vertical="center"/>
    </x:xf>
    <x:xf numFmtId="168" fontId="3" fillId="3" borderId="1" xfId="0" applyAlignment="1">
      <x:alignment horizontal="right" vertical="center"/>
    </x:xf>
    <x:xf numFmtId="17" fontId="4" fillId="2" borderId="1" xfId="0" applyAlignment="1">
      <x:alignment horizontal="center" vertical="center"/>
    </x:xf>
    <x:xf numFmtId="0" fontId="2" fillId="0" borderId="1" xfId="0" applyAlignment="1">
      <x:alignment horizontal="left" vertical="center"/>
    </x:xf>
    <x:xf numFmtId="0" fontId="2" fillId="4" borderId="1" xfId="0" applyAlignment="1">
      <x:alignment horizontal="left" vertical="center"/>
    </x:xf>
    <x:xf numFmtId="166" fontId="5" fillId="4" borderId="1" xfId="0" applyAlignment="1">
      <x:alignment horizontal="right" vertical="center"/>
    </x:xf>
    <x:xf numFmtId="0" fontId="6" fillId="5" borderId="1" xfId="0" applyAlignment="1">
      <x:alignment horizontal="left" vertical="center"/>
    </x:xf>
    <x:xf numFmtId="169" fontId="7" fillId="5" borderId="1" xfId="0" applyAlignment="1">
      <x:alignment horizontal="center" vertical="center"/>
    </x:xf>
    <x:xf numFmtId="0" fontId="8" fillId="6" borderId="0" xfId="0" applyAlignment="1">
      <x:alignment horizontal="left" vertical="center"/>
    </x:xf>
    <x:xf numFmtId="0" fontId="0" fillId="6" borderId="0" xfId="0"/>
    <x:xf numFmtId="166" fontId="5" fillId="0" borderId="1" xfId="0" applyAlignment="1">
      <x:alignment horizontal="right" vertical="center"/>
    </x:xf>
    <x:xf numFmtId="168" fontId="5" fillId="0" borderId="1" xfId="0" applyAlignment="1">
      <x:alignment horizontal="right" vertical="center"/>
    </x:xf>
    <x:xf numFmtId="0" fontId="9" fillId="4" borderId="1" xfId="0" applyAlignment="1">
      <x:alignment horizontal="left" vertical="center"/>
    </x:xf>
    <x:xf numFmtId="168" fontId="9" fillId="4" borderId="1" xfId="0" applyAlignment="1">
      <x:alignment horizontal="right" vertical="center"/>
    </x:xf>
    <x:xf numFmtId="166" fontId="9" fillId="0" borderId="1" xfId="0" applyAlignment="1">
      <x:alignment horizontal="right" vertical="center"/>
    </x:xf>
    <x:xf numFmtId="168" fontId="9" fillId="0" borderId="1" xfId="0" applyAlignment="1">
      <x:alignment horizontal="right" vertical="center"/>
    </x:xf>
    <x:xf numFmtId="0" fontId="10" fillId="0" borderId="0" xfId="0" applyAlignment="1">
      <x:alignment horizontal="left" vertical="center"/>
    </x:xf>
    <x:xf numFmtId="0" fontId="11" fillId="7" borderId="1" xfId="0" applyAlignment="1">
      <x:alignment horizontal="left" vertical="center"/>
    </x:xf>
    <x:xf numFmtId="0" fontId="0" fillId="7" borderId="1" xfId="0"/>
    <x:xf numFmtId="166" fontId="12" fillId="7" borderId="1" xfId="0" applyAlignment="1">
      <x:alignment horizontal="center" vertical="center"/>
    </x:xf>
    <x:xf numFmtId="168" fontId="12" fillId="7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591cee5d04b21" /><Relationship Type="http://schemas.openxmlformats.org/officeDocument/2006/relationships/theme" Target="/xl/theme/theme1.xml" Id="R8c7484bd526c46a5" /><Relationship Type="http://schemas.openxmlformats.org/officeDocument/2006/relationships/sharedStrings" Target="/xl/sharedStrings.xml" Id="Rea71a7a2d2ac42b5" /><Relationship Type="http://schemas.openxmlformats.org/officeDocument/2006/relationships/worksheet" Target="/xl/worksheets/sheet1.xml" Id="R929eacc80e834441" /><Relationship Type="http://schemas.openxmlformats.org/officeDocument/2006/relationships/worksheet" Target="/xl/worksheets/sheet2.xml" Id="R305237d1ba434c64" /><Relationship Type="http://schemas.openxmlformats.org/officeDocument/2006/relationships/worksheet" Target="/xl/worksheets/sheet3.xml" Id="R29e6ff7aa7a642a6" /><Relationship Type="http://schemas.openxmlformats.org/officeDocument/2006/relationships/worksheet" Target="/xl/worksheets/sheet4.xml" Id="R6ff960f2c0f047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2d8ce422d1445b" /><Relationship Type="http://schemas.openxmlformats.org/officeDocument/2006/relationships/chart" Target="/xl/drawings/charts/chart2.xml" Id="R4b5b2d70a0f141c3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Total Ending Headcount (Monthly)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'Summary'!$B$4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'Summary'!$C$4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'Summary'!$D$4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'Summary'!$E$4</c:f>
              <c:numCache>
                <c:formatCode/>
                <c:ptCount val="0"/>
              </c:numCache>
            </c:numRef>
          </c:val>
          <c:smooth val="0"/>
        </c:ser>
        <c:ser>
          <c:idx val="4"/>
          <c:order val="4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'Summary'!$F$4</c:f>
              <c:numCache>
                <c:formatCode/>
                <c:ptCount val="0"/>
              </c:numCache>
            </c:numRef>
          </c:val>
          <c:smooth val="0"/>
        </c:ser>
        <c:ser>
          <c:idx val="5"/>
          <c:order val="5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'Summary'!$G$4</c:f>
              <c:numCache>
                <c:formatCode/>
                <c:ptCount val="0"/>
              </c:numCache>
            </c:numRef>
          </c:val>
          <c:smooth val="0"/>
        </c:ser>
        <c:ser>
          <c:idx val="6"/>
          <c:order val="6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'Summary'!$H$4</c:f>
              <c:numCache>
                <c:formatCode/>
                <c:ptCount val="0"/>
              </c:numCache>
            </c:numRef>
          </c:val>
          <c:smooth val="0"/>
        </c:ser>
        <c:ser>
          <c:idx val="7"/>
          <c:order val="7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'Summary'!$I$4</c:f>
              <c:numCache>
                <c:formatCode/>
                <c:ptCount val="0"/>
              </c:numCache>
            </c:numRef>
          </c:val>
          <c:smooth val="0"/>
        </c:ser>
        <c:ser>
          <c:idx val="8"/>
          <c:order val="8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'Summary'!$J$4</c:f>
              <c:numCache>
                <c:formatCode/>
                <c:ptCount val="0"/>
              </c:numCache>
            </c:numRef>
          </c:val>
          <c:smooth val="0"/>
        </c:ser>
        <c:ser>
          <c:idx val="9"/>
          <c:order val="9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'Summary'!$K$4</c:f>
              <c:numCache>
                <c:formatCode/>
                <c:ptCount val="0"/>
              </c:numCache>
            </c:numRef>
          </c:val>
          <c:smooth val="0"/>
        </c:ser>
        <c:ser>
          <c:idx val="10"/>
          <c:order val="10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'Summary'!$L$4</c:f>
              <c:numCache>
                <c:formatCode/>
                <c:ptCount val="0"/>
              </c:numCache>
            </c:numRef>
          </c:val>
          <c:smooth val="0"/>
        </c:ser>
        <c:ser>
          <c:idx val="11"/>
          <c:order val="11"/>
          <c:spPr>
            <a:ln xmlns:a="http://schemas.openxmlformats.org/drawingml/2006/main"/>
          </c:spPr>
          <c:marker>
            <c:symbol val="none"/>
          </c:marke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'Summary'!$M$4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Total Personnel Cost (Monthly)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gapWidth val="150"/>
        <c:ser>
          <c:idx val="0"/>
          <c:order val="0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'Summary'!$B$7</c:f>
              <c:numCache>
                <c:formatCode/>
                <c:ptCount val="0"/>
              </c:numCache>
            </c:numRef>
          </c:val>
        </c:ser>
        <c:ser>
          <c:idx val="1"/>
          <c:order val="1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'Summary'!$C$7</c:f>
              <c:numCache>
                <c:formatCode/>
                <c:ptCount val="0"/>
              </c:numCache>
            </c:numRef>
          </c:val>
        </c:ser>
        <c:ser>
          <c:idx val="2"/>
          <c:order val="2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'Summary'!$D$7</c:f>
              <c:numCache>
                <c:formatCode/>
                <c:ptCount val="0"/>
              </c:numCache>
            </c:numRef>
          </c:val>
        </c:ser>
        <c:ser>
          <c:idx val="3"/>
          <c:order val="3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'Summary'!$E$7</c:f>
              <c:numCache>
                <c:formatCode/>
                <c:ptCount val="0"/>
              </c:numCache>
            </c:numRef>
          </c:val>
        </c:ser>
        <c:ser>
          <c:idx val="4"/>
          <c:order val="4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'Summary'!$F$7</c:f>
              <c:numCache>
                <c:formatCode/>
                <c:ptCount val="0"/>
              </c:numCache>
            </c:numRef>
          </c:val>
        </c:ser>
        <c:ser>
          <c:idx val="5"/>
          <c:order val="5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'Summary'!$G$7</c:f>
              <c:numCache>
                <c:formatCode/>
                <c:ptCount val="0"/>
              </c:numCache>
            </c:numRef>
          </c:val>
        </c:ser>
        <c:ser>
          <c:idx val="6"/>
          <c:order val="6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'Summary'!$H$7</c:f>
              <c:numCache>
                <c:formatCode/>
                <c:ptCount val="0"/>
              </c:numCache>
            </c:numRef>
          </c:val>
        </c:ser>
        <c:ser>
          <c:idx val="7"/>
          <c:order val="7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'Summary'!$I$7</c:f>
              <c:numCache>
                <c:formatCode/>
                <c:ptCount val="0"/>
              </c:numCache>
            </c:numRef>
          </c:val>
        </c:ser>
        <c:ser>
          <c:idx val="8"/>
          <c:order val="8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'Summary'!$J$7</c:f>
              <c:numCache>
                <c:formatCode/>
                <c:ptCount val="0"/>
              </c:numCache>
            </c:numRef>
          </c:val>
        </c:ser>
        <c:ser>
          <c:idx val="9"/>
          <c:order val="9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'Summary'!$K$7</c:f>
              <c:numCache>
                <c:formatCode/>
                <c:ptCount val="0"/>
              </c:numCache>
            </c:numRef>
          </c:val>
        </c:ser>
        <c:ser>
          <c:idx val="10"/>
          <c:order val="10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'Summary'!$L$7</c:f>
              <c:numCache>
                <c:formatCode/>
                <c:ptCount val="0"/>
              </c:numCache>
            </c:numRef>
          </c:val>
        </c:ser>
        <c:ser>
          <c:idx val="11"/>
          <c:order val="11"/>
          <c:spPr>
            <a:ln xmlns:a="http://schemas.openxmlformats.org/drawingml/2006/main"/>
          </c:spPr>
          <c:cat>
            <c:strRef>
              <c:f>'Summary'!$B$3:$M$3</c:f>
              <c:strCache>
                <c:ptCount val="0"/>
              </c:strCache>
            </c:strRef>
          </c:cat>
          <c:val>
            <c:numRef>
              <c:f>'Summary'!$M$7</c:f>
              <c:numCache>
                <c:formatCode/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2d8ce422d1445b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5b2d70a0f141c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e50895f77ab46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0" customWidth="1"/>
    <x:col min="3" max="3" width="15" customWidth="1"/>
    <x:col min="4" max="4" width="20" customWidth="1"/>
    <x:col min="5" max="5" width="12" customWidth="1"/>
    <x:col min="6" max="6" width="16" customWidth="1"/>
    <x:col min="7" max="7" width="14" customWidth="1"/>
    <x:col min="8" max="8" width="12" customWidth="1"/>
  </x:cols>
  <x:sheetData>
    <x:row r="1" ht="28" customHeight="1">
      <x:c r="A1" s="1" t="inlineStr">
        <x:is>
          <x:t xml:space="preserve">Workforce Planning Model — Assumptions</x:t>
        </x:is>
      </x:c>
    </x:row>
    <x:row r="3">
      <x:c r="A3" s="2" t="inlineStr">
        <x:is>
          <x:t xml:space="preserve">Plan start date</x:t>
        </x:is>
      </x:c>
      <x:c r="B3" s="3" t="n">
        <x:v>46023</x:v>
      </x:c>
      <x:c r="D3" s="4" t="inlineStr">
        <x:is>
          <x:t xml:space="preserve">Notes</x:t>
        </x:is>
      </x:c>
    </x:row>
    <x:row r="4">
      <x:c r="A4" s="2" t="inlineStr">
        <x:is>
          <x:t xml:space="preserve">Number of months</x:t>
        </x:is>
      </x:c>
      <x:c r="B4" s="5" t="n">
        <x:v>12</x:v>
      </x:c>
      <x:c r="D4" s="6" t="inlineStr">
        <x:is>
          <x:t xml:space="preserve">Blue cells are inputs. Attrition is modeled monthly (annual rate / 12). Costs use average headcount and apply a smooth merit factor across months.</x:t>
        </x:is>
      </x:c>
    </x:row>
    <x:row r="5">
      <x:c r="A5" s="2" t="inlineStr">
        <x:is>
          <x:t xml:space="preserve">Annual merit increase (%)</x:t>
        </x:is>
      </x:c>
      <x:c r="B5" s="7" t="n">
        <x:v>0.03</x:v>
      </x:c>
    </x:row>
    <x:row r="6">
      <x:c r="A6" s="2" t="inlineStr">
        <x:is>
          <x:t xml:space="preserve">Currency</x:t>
        </x:is>
      </x:c>
      <x:c r="B6" s="8" t="inlineStr">
        <x:is>
          <x:t xml:space="preserve">USD</x:t>
        </x:is>
      </x:c>
    </x:row>
    <x:row r="9">
      <x:c r="A9" s="9" t="inlineStr">
        <x:is>
          <x:t xml:space="preserve">Department</x:t>
        </x:is>
      </x:c>
      <x:c r="B9" s="9" t="inlineStr">
        <x:is>
          <x:t xml:space="preserve">Start HC</x:t>
        </x:is>
      </x:c>
      <x:c r="C9" s="9" t="inlineStr">
        <x:is>
          <x:t xml:space="preserve">Annual Attrition %</x:t>
        </x:is>
      </x:c>
      <x:c r="D9" s="9" t="inlineStr">
        <x:is>
          <x:t xml:space="preserve">Avg Annual Base Salary</x:t>
        </x:is>
      </x:c>
      <x:c r="E9" s="9" t="inlineStr">
        <x:is>
          <x:t xml:space="preserve">Benefits %</x:t>
        </x:is>
      </x:c>
      <x:c r="F9" s="9" t="inlineStr">
        <x:is>
          <x:t xml:space="preserve">Recruiting $/Hire</x:t>
        </x:is>
      </x:c>
      <x:c r="G9" s="9" t="inlineStr">
        <x:is>
          <x:t xml:space="preserve">Variable Pay %</x:t>
        </x:is>
      </x:c>
    </x:row>
    <x:row r="10">
      <x:c r="A10" s="2" t="inlineStr">
        <x:is>
          <x:t xml:space="preserve">Engineering</x:t>
        </x:is>
      </x:c>
      <x:c r="B10" s="10" t="n">
        <x:v>120</x:v>
      </x:c>
      <x:c r="C10" s="11" t="n">
        <x:v>0.1</x:v>
      </x:c>
      <x:c r="D10" s="12" t="n">
        <x:v>160000</x:v>
      </x:c>
      <x:c r="E10" s="11" t="n">
        <x:v>0.25</x:v>
      </x:c>
      <x:c r="F10" s="12" t="n">
        <x:v>12000</x:v>
      </x:c>
      <x:c r="G10" s="11" t="n">
        <x:v>0</x:v>
      </x:c>
    </x:row>
    <x:row r="11">
      <x:c r="A11" s="2" t="inlineStr">
        <x:is>
          <x:t xml:space="preserve">Marketing</x:t>
        </x:is>
      </x:c>
      <x:c r="B11" s="10" t="n">
        <x:v>35</x:v>
      </x:c>
      <x:c r="C11" s="11" t="n">
        <x:v>0.12</x:v>
      </x:c>
      <x:c r="D11" s="12" t="n">
        <x:v>110000</x:v>
      </x:c>
      <x:c r="E11" s="11" t="n">
        <x:v>0.25</x:v>
      </x:c>
      <x:c r="F11" s="12" t="n">
        <x:v>8000</x:v>
      </x:c>
      <x:c r="G11" s="11" t="n">
        <x:v>0.05</x:v>
      </x:c>
    </x:row>
    <x:row r="12">
      <x:c r="A12" s="2" t="inlineStr">
        <x:is>
          <x:t xml:space="preserve">Legal</x:t>
        </x:is>
      </x:c>
      <x:c r="B12" s="10" t="n">
        <x:v>12</x:v>
      </x:c>
      <x:c r="C12" s="11" t="n">
        <x:v>0.08</x:v>
      </x:c>
      <x:c r="D12" s="12" t="n">
        <x:v>190000</x:v>
      </x:c>
      <x:c r="E12" s="11" t="n">
        <x:v>0.22</x:v>
      </x:c>
      <x:c r="F12" s="12" t="n">
        <x:v>15000</x:v>
      </x:c>
      <x:c r="G12" s="11" t="n">
        <x:v>0</x:v>
      </x:c>
    </x:row>
    <x:row r="13">
      <x:c r="A13" s="2" t="inlineStr">
        <x:is>
          <x:t xml:space="preserve">Sales</x:t>
        </x:is>
      </x:c>
      <x:c r="B13" s="10" t="n">
        <x:v>60</x:v>
      </x:c>
      <x:c r="C13" s="11" t="n">
        <x:v>0.15</x:v>
      </x:c>
      <x:c r="D13" s="12" t="n">
        <x:v>125000</x:v>
      </x:c>
      <x:c r="E13" s="11" t="n">
        <x:v>0.22</x:v>
      </x:c>
      <x:c r="F13" s="12" t="n">
        <x:v>10000</x:v>
      </x:c>
      <x:c r="G13" s="11" t="n">
        <x:v>0.25</x:v>
      </x:c>
    </x:row>
  </x:sheetData>
  <x:mergeCells>
    <x:mergeCell ref="D4:H6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</x:cols>
  <x:sheetData>
    <x:row r="1" ht="28" customHeight="1">
      <x:c r="A1" s="1" t="inlineStr">
        <x:is>
          <x:t xml:space="preserve">Hiring Plan (Monthly planned hires — inputs)</x:t>
        </x:is>
      </x:c>
    </x:row>
    <x:row r="3">
      <x:c r="A3" s="9" t="inlineStr">
        <x:is>
          <x:t xml:space="preserve">Department</x:t>
        </x:is>
      </x:c>
      <x:c r="B3" s="13">
        <x:f>Assumptions!$B$3</x:f>
        <x:v>46023</x:v>
      </x:c>
      <x:c r="C3" s="13">
        <x:f>EDATE(B3,1)</x:f>
        <x:v>46054</x:v>
      </x:c>
      <x:c r="D3" s="13">
        <x:f>EDATE(C3,1)</x:f>
        <x:v>46082</x:v>
      </x:c>
      <x:c r="E3" s="13">
        <x:f>EDATE(D3,1)</x:f>
        <x:v>46113</x:v>
      </x:c>
      <x:c r="F3" s="13">
        <x:f>EDATE(E3,1)</x:f>
        <x:v>46143</x:v>
      </x:c>
      <x:c r="G3" s="13">
        <x:f>EDATE(F3,1)</x:f>
        <x:v>46174</x:v>
      </x:c>
      <x:c r="H3" s="13">
        <x:f>EDATE(G3,1)</x:f>
        <x:v>46204</x:v>
      </x:c>
      <x:c r="I3" s="13">
        <x:f>EDATE(H3,1)</x:f>
        <x:v>46235</x:v>
      </x:c>
      <x:c r="J3" s="13">
        <x:f>EDATE(I3,1)</x:f>
        <x:v>46266</x:v>
      </x:c>
      <x:c r="K3" s="13">
        <x:f>EDATE(J3,1)</x:f>
        <x:v>46296</x:v>
      </x:c>
      <x:c r="L3" s="13">
        <x:f>EDATE(K3,1)</x:f>
        <x:v>46327</x:v>
      </x:c>
      <x:c r="M3" s="13">
        <x:f>EDATE(L3,1)</x:f>
        <x:v>46357</x:v>
      </x:c>
    </x:row>
    <x:row r="4">
      <x:c r="A4" s="14" t="inlineStr">
        <x:is>
          <x:t xml:space="preserve">Engineering</x:t>
        </x:is>
      </x:c>
      <x:c r="B4" s="10" t="n">
        <x:v>0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  <x:c r="H4" s="10" t="n">
        <x:v>0</x:v>
      </x:c>
      <x:c r="I4" s="10" t="n">
        <x:v>0</x:v>
      </x:c>
      <x:c r="J4" s="10" t="n">
        <x:v>0</x:v>
      </x:c>
      <x:c r="K4" s="10" t="n">
        <x:v>0</x:v>
      </x:c>
      <x:c r="L4" s="10" t="n">
        <x:v>0</x:v>
      </x:c>
      <x:c r="M4" s="10" t="n">
        <x:v>0</x:v>
      </x:c>
    </x:row>
    <x:row r="5">
      <x:c r="A5" s="14" t="inlineStr">
        <x:is>
          <x:t xml:space="preserve">Marketing</x:t>
        </x:is>
      </x:c>
      <x:c r="B5" s="10" t="n">
        <x:v>0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v>0</x:v>
      </x:c>
    </x:row>
    <x:row r="6">
      <x:c r="A6" s="14" t="inlineStr">
        <x:is>
          <x:t xml:space="preserve">Legal</x:t>
        </x:is>
      </x:c>
      <x:c r="B6" s="10" t="n">
        <x:v>0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  <x:c r="H6" s="10" t="n">
        <x:v>0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v>0</x:v>
      </x:c>
    </x:row>
    <x:row r="7">
      <x:c r="A7" s="14" t="inlineStr">
        <x:is>
          <x:t xml:space="preserve">Sales</x:t>
        </x:is>
      </x:c>
      <x:c r="B7" s="10" t="n">
        <x:v>0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  <x:c r="H7" s="10" t="n">
        <x:v>0</x:v>
      </x:c>
      <x:c r="I7" s="10" t="n">
        <x:v>0</x:v>
      </x:c>
      <x:c r="J7" s="10" t="n">
        <x:v>0</x:v>
      </x:c>
      <x:c r="K7" s="10" t="n">
        <x:v>0</x:v>
      </x:c>
      <x:c r="L7" s="10" t="n">
        <x:v>0</x:v>
      </x:c>
      <x:c r="M7" s="10" t="n">
        <x:v>0</x:v>
      </x:c>
    </x:row>
    <x:row r="8">
      <x:c r="A8" s="15" t="inlineStr">
        <x:is>
          <x:t xml:space="preserve">Total</x:t>
        </x:is>
      </x:c>
      <x:c r="B8" s="16">
        <x:f>SUM(B4:B7)</x:f>
        <x:v>0</x:v>
      </x:c>
      <x:c r="C8" s="16">
        <x:f>SUM(C4:C7)</x:f>
        <x:v>0</x:v>
      </x:c>
      <x:c r="D8" s="16">
        <x:f>SUM(D4:D7)</x:f>
        <x:v>0</x:v>
      </x:c>
      <x:c r="E8" s="16">
        <x:f>SUM(E4:E7)</x:f>
        <x:v>0</x:v>
      </x:c>
      <x:c r="F8" s="16">
        <x:f>SUM(F4:F7)</x:f>
        <x:v>0</x:v>
      </x:c>
      <x:c r="G8" s="16">
        <x:f>SUM(G4:G7)</x:f>
        <x:v>0</x:v>
      </x:c>
      <x:c r="H8" s="16">
        <x:f>SUM(H4:H7)</x:f>
        <x:v>0</x:v>
      </x:c>
      <x:c r="I8" s="16">
        <x:f>SUM(I4:I7)</x:f>
        <x:v>0</x:v>
      </x:c>
      <x:c r="J8" s="16">
        <x:f>SUM(J4:J7)</x:f>
        <x:v>0</x:v>
      </x:c>
      <x:c r="K8" s="16">
        <x:f>SUM(K4:K7)</x:f>
        <x:v>0</x:v>
      </x:c>
      <x:c r="L8" s="16">
        <x:f>SUM(L4:L7)</x:f>
        <x:v>0</x:v>
      </x:c>
      <x:c r="M8" s="16">
        <x:f>SUM(M4:M7)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</x:cols>
  <x:sheetData>
    <x:row r="1" ht="28" customHeight="1">
      <x:c r="A1" s="1" t="inlineStr">
        <x:is>
          <x:t xml:space="preserve">Workforce Plan — Headcount, Attrition, and Budget Impact</x:t>
        </x:is>
      </x:c>
    </x:row>
    <x:row r="2">
      <x:c r="A2" s="9" t="inlineStr">
        <x:is>
          <x:t xml:space="preserve">Metric</x:t>
        </x:is>
      </x:c>
      <x:c r="B2" s="13">
        <x:f>Assumptions!$B$3</x:f>
        <x:v>46023</x:v>
      </x:c>
      <x:c r="C2" s="13">
        <x:f>EDATE(B2,1)</x:f>
        <x:v>46054</x:v>
      </x:c>
      <x:c r="D2" s="13">
        <x:f>EDATE(C2,1)</x:f>
        <x:v>46082</x:v>
      </x:c>
      <x:c r="E2" s="13">
        <x:f>EDATE(D2,1)</x:f>
        <x:v>46113</x:v>
      </x:c>
      <x:c r="F2" s="13">
        <x:f>EDATE(E2,1)</x:f>
        <x:v>46143</x:v>
      </x:c>
      <x:c r="G2" s="13">
        <x:f>EDATE(F2,1)</x:f>
        <x:v>46174</x:v>
      </x:c>
      <x:c r="H2" s="13">
        <x:f>EDATE(G2,1)</x:f>
        <x:v>46204</x:v>
      </x:c>
      <x:c r="I2" s="13">
        <x:f>EDATE(H2,1)</x:f>
        <x:v>46235</x:v>
      </x:c>
      <x:c r="J2" s="13">
        <x:f>EDATE(I2,1)</x:f>
        <x:v>46266</x:v>
      </x:c>
      <x:c r="K2" s="13">
        <x:f>EDATE(J2,1)</x:f>
        <x:v>46296</x:v>
      </x:c>
      <x:c r="L2" s="13">
        <x:f>EDATE(K2,1)</x:f>
        <x:v>46327</x:v>
      </x:c>
      <x:c r="M2" s="13">
        <x:f>EDATE(L2,1)</x:f>
        <x:v>46357</x:v>
      </x:c>
    </x:row>
    <x:row r="3">
      <x:c r="A3" s="17" t="inlineStr">
        <x:is>
          <x:t xml:space="preserve">Salary factor</x:t>
        </x:is>
      </x:c>
      <x:c r="B3" s="18">
        <x:f>(1+Assumptions!$B$5)^((COLUMN()-COLUMN($B$3))/12)</x:f>
        <x:v>1</x:v>
      </x:c>
      <x:c r="C3" s="18">
        <x:f>(1+Assumptions!$B$5)^((COLUMN()-COLUMN($B$3))/12)</x:f>
        <x:v>1.0024662697723037</x:v>
      </x:c>
      <x:c r="D3" s="18">
        <x:f>(1+Assumptions!$B$5)^((COLUMN()-COLUMN($B$3))/12)</x:f>
        <x:v>1.0049386220311969</x:v>
      </x:c>
      <x:c r="E3" s="18">
        <x:f>(1+Assumptions!$B$5)^((COLUMN()-COLUMN($B$3))/12)</x:f>
        <x:v>1.0074170717777329</x:v>
      </x:c>
      <x:c r="F3" s="18">
        <x:f>(1+Assumptions!$B$5)^((COLUMN()-COLUMN($B$3))/12)</x:f>
        <x:v>1.009901634049961</x:v>
      </x:c>
      <x:c r="G3" s="18">
        <x:f>(1+Assumptions!$B$5)^((COLUMN()-COLUMN($B$3))/12)</x:f>
        <x:v>1.0123923239230184</x:v>
      </x:c>
      <x:c r="H3" s="18">
        <x:f>(1+Assumptions!$B$5)^((COLUMN()-COLUMN($B$3))/12)</x:f>
        <x:v>1.014889156509222</x:v>
      </x:c>
      <x:c r="I3" s="18">
        <x:f>(1+Assumptions!$B$5)^((COLUMN()-COLUMN($B$3))/12)</x:f>
        <x:v>1.0173921469581593</x:v>
      </x:c>
      <x:c r="J3" s="18">
        <x:f>(1+Assumptions!$B$5)^((COLUMN()-COLUMN($B$3))/12)</x:f>
        <x:v>1.0199013104567813</x:v>
      </x:c>
      <x:c r="K3" s="18">
        <x:f>(1+Assumptions!$B$5)^((COLUMN()-COLUMN($B$3))/12)</x:f>
        <x:v>1.0224166622294937</x:v>
      </x:c>
      <x:c r="L3" s="18">
        <x:f>(1+Assumptions!$B$5)^((COLUMN()-COLUMN($B$3))/12)</x:f>
        <x:v>1.0249382175382498</x:v>
      </x:c>
      <x:c r="M3" s="18">
        <x:f>(1+Assumptions!$B$5)^((COLUMN()-COLUMN($B$3))/12)</x:f>
        <x:v>1.0274659916826432</x:v>
      </x:c>
    </x:row>
    <x:row r="5" ht="20" customHeight="1">
      <x:c r="A5" s="19" t="inlineStr">
        <x:is>
          <x:t xml:space="preserve">Engineering</x:t>
        </x:is>
      </x:c>
      <x:c r="B5" s="20" t="n"/>
      <x:c r="C5" s="20" t="n"/>
      <x:c r="D5" s="20" t="n"/>
      <x:c r="E5" s="20" t="n"/>
      <x:c r="F5" s="20" t="n"/>
      <x:c r="G5" s="20" t="n"/>
      <x:c r="H5" s="20" t="n"/>
      <x:c r="I5" s="20" t="n"/>
      <x:c r="J5" s="20" t="n"/>
      <x:c r="K5" s="20" t="n"/>
      <x:c r="L5" s="20" t="n"/>
      <x:c r="M5" s="20" t="n"/>
    </x:row>
    <x:row r="6">
      <x:c r="A6" s="14" t="inlineStr">
        <x:is>
          <x:t xml:space="preserve">Beginning HC</x:t>
        </x:is>
      </x:c>
      <x:c r="B6" s="21">
        <x:f>Assumptions!$B$10</x:f>
        <x:v>120</x:v>
      </x:c>
      <x:c r="C6" s="21">
        <x:f>B9</x:f>
        <x:v>119</x:v>
      </x:c>
      <x:c r="D6" s="21">
        <x:f>C9</x:f>
        <x:v>118</x:v>
      </x:c>
      <x:c r="E6" s="21">
        <x:f>D9</x:f>
        <x:v>117</x:v>
      </x:c>
      <x:c r="F6" s="21">
        <x:f>E9</x:f>
        <x:v>116</x:v>
      </x:c>
      <x:c r="G6" s="21">
        <x:f>F9</x:f>
        <x:v>115</x:v>
      </x:c>
      <x:c r="H6" s="21">
        <x:f>G9</x:f>
        <x:v>114</x:v>
      </x:c>
      <x:c r="I6" s="21">
        <x:f>H9</x:f>
        <x:v>113</x:v>
      </x:c>
      <x:c r="J6" s="21">
        <x:f>I9</x:f>
        <x:v>112</x:v>
      </x:c>
      <x:c r="K6" s="21">
        <x:f>J9</x:f>
        <x:v>111</x:v>
      </x:c>
      <x:c r="L6" s="21">
        <x:f>K9</x:f>
        <x:v>110</x:v>
      </x:c>
      <x:c r="M6" s="21">
        <x:f>L9</x:f>
        <x:v>109</x:v>
      </x:c>
    </x:row>
    <x:row r="7">
      <x:c r="A7" s="15" t="inlineStr">
        <x:is>
          <x:t xml:space="preserve">Planned Hires (input)</x:t>
        </x:is>
      </x:c>
      <x:c r="B7" s="10">
        <x:f>'Hiring Plan'!B4</x:f>
        <x:v>0</x:v>
      </x:c>
      <x:c r="C7" s="10">
        <x:f>'Hiring Plan'!C4</x:f>
        <x:v>0</x:v>
      </x:c>
      <x:c r="D7" s="10">
        <x:f>'Hiring Plan'!D4</x:f>
        <x:v>0</x:v>
      </x:c>
      <x:c r="E7" s="10">
        <x:f>'Hiring Plan'!E4</x:f>
        <x:v>0</x:v>
      </x:c>
      <x:c r="F7" s="10">
        <x:f>'Hiring Plan'!F4</x:f>
        <x:v>0</x:v>
      </x:c>
      <x:c r="G7" s="10">
        <x:f>'Hiring Plan'!G4</x:f>
        <x:v>0</x:v>
      </x:c>
      <x:c r="H7" s="10">
        <x:f>'Hiring Plan'!H4</x:f>
        <x:v>0</x:v>
      </x:c>
      <x:c r="I7" s="10">
        <x:f>'Hiring Plan'!I4</x:f>
        <x:v>0</x:v>
      </x:c>
      <x:c r="J7" s="10">
        <x:f>'Hiring Plan'!J4</x:f>
        <x:v>0</x:v>
      </x:c>
      <x:c r="K7" s="10">
        <x:f>'Hiring Plan'!K4</x:f>
        <x:v>0</x:v>
      </x:c>
      <x:c r="L7" s="10">
        <x:f>'Hiring Plan'!L4</x:f>
        <x:v>0</x:v>
      </x:c>
      <x:c r="M7" s="10">
        <x:f>'Hiring Plan'!M4</x:f>
        <x:v>0</x:v>
      </x:c>
    </x:row>
    <x:row r="8">
      <x:c r="A8" s="14" t="inlineStr">
        <x:is>
          <x:t xml:space="preserve">Attrition (calc)</x:t>
        </x:is>
      </x:c>
      <x:c r="B8" s="21">
        <x:f>ROUND(B6*Assumptions!$C$10/12,0)</x:f>
        <x:v>1</x:v>
      </x:c>
      <x:c r="C8" s="21">
        <x:f>ROUND(C6*Assumptions!$C$10/12,0)</x:f>
        <x:v>1</x:v>
      </x:c>
      <x:c r="D8" s="21">
        <x:f>ROUND(D6*Assumptions!$C$10/12,0)</x:f>
        <x:v>1</x:v>
      </x:c>
      <x:c r="E8" s="21">
        <x:f>ROUND(E6*Assumptions!$C$10/12,0)</x:f>
        <x:v>1</x:v>
      </x:c>
      <x:c r="F8" s="21">
        <x:f>ROUND(F6*Assumptions!$C$10/12,0)</x:f>
        <x:v>1</x:v>
      </x:c>
      <x:c r="G8" s="21">
        <x:f>ROUND(G6*Assumptions!$C$10/12,0)</x:f>
        <x:v>1</x:v>
      </x:c>
      <x:c r="H8" s="21">
        <x:f>ROUND(H6*Assumptions!$C$10/12,0)</x:f>
        <x:v>1</x:v>
      </x:c>
      <x:c r="I8" s="21">
        <x:f>ROUND(I6*Assumptions!$C$10/12,0)</x:f>
        <x:v>1</x:v>
      </x:c>
      <x:c r="J8" s="21">
        <x:f>ROUND(J6*Assumptions!$C$10/12,0)</x:f>
        <x:v>1</x:v>
      </x:c>
      <x:c r="K8" s="21">
        <x:f>ROUND(K6*Assumptions!$C$10/12,0)</x:f>
        <x:v>1</x:v>
      </x:c>
      <x:c r="L8" s="21">
        <x:f>ROUND(L6*Assumptions!$C$10/12,0)</x:f>
        <x:v>1</x:v>
      </x:c>
      <x:c r="M8" s="21">
        <x:f>ROUND(M6*Assumptions!$C$10/12,0)</x:f>
        <x:v>1</x:v>
      </x:c>
    </x:row>
    <x:row r="9">
      <x:c r="A9" s="14" t="inlineStr">
        <x:is>
          <x:t xml:space="preserve">Ending HC</x:t>
        </x:is>
      </x:c>
      <x:c r="B9" s="21">
        <x:f>B6+B7-B8</x:f>
        <x:v>119</x:v>
      </x:c>
      <x:c r="C9" s="21">
        <x:f>C6+C7-C8</x:f>
        <x:v>118</x:v>
      </x:c>
      <x:c r="D9" s="21">
        <x:f>D6+D7-D8</x:f>
        <x:v>117</x:v>
      </x:c>
      <x:c r="E9" s="21">
        <x:f>E6+E7-E8</x:f>
        <x:v>116</x:v>
      </x:c>
      <x:c r="F9" s="21">
        <x:f>F6+F7-F8</x:f>
        <x:v>115</x:v>
      </x:c>
      <x:c r="G9" s="21">
        <x:f>G6+G7-G8</x:f>
        <x:v>114</x:v>
      </x:c>
      <x:c r="H9" s="21">
        <x:f>H6+H7-H8</x:f>
        <x:v>113</x:v>
      </x:c>
      <x:c r="I9" s="21">
        <x:f>I6+I7-I8</x:f>
        <x:v>112</x:v>
      </x:c>
      <x:c r="J9" s="21">
        <x:f>J6+J7-J8</x:f>
        <x:v>111</x:v>
      </x:c>
      <x:c r="K9" s="21">
        <x:f>K6+K7-K8</x:f>
        <x:v>110</x:v>
      </x:c>
      <x:c r="L9" s="21">
        <x:f>L6+L7-L8</x:f>
        <x:v>109</x:v>
      </x:c>
      <x:c r="M9" s="21">
        <x:f>M6+M7-M8</x:f>
        <x:v>108</x:v>
      </x:c>
    </x:row>
    <x:row r="10">
      <x:c r="A10" s="14" t="inlineStr">
        <x:is>
          <x:t xml:space="preserve">Avg HC</x:t>
        </x:is>
      </x:c>
      <x:c r="B10" s="21">
        <x:f>(B6+B9)/2</x:f>
        <x:v>119.5</x:v>
      </x:c>
      <x:c r="C10" s="21">
        <x:f>(C6+C9)/2</x:f>
        <x:v>118.5</x:v>
      </x:c>
      <x:c r="D10" s="21">
        <x:f>(D6+D9)/2</x:f>
        <x:v>117.5</x:v>
      </x:c>
      <x:c r="E10" s="21">
        <x:f>(E6+E9)/2</x:f>
        <x:v>116.5</x:v>
      </x:c>
      <x:c r="F10" s="21">
        <x:f>(F6+F9)/2</x:f>
        <x:v>115.5</x:v>
      </x:c>
      <x:c r="G10" s="21">
        <x:f>(G6+G9)/2</x:f>
        <x:v>114.5</x:v>
      </x:c>
      <x:c r="H10" s="21">
        <x:f>(H6+H9)/2</x:f>
        <x:v>113.5</x:v>
      </x:c>
      <x:c r="I10" s="21">
        <x:f>(I6+I9)/2</x:f>
        <x:v>112.5</x:v>
      </x:c>
      <x:c r="J10" s="21">
        <x:f>(J6+J9)/2</x:f>
        <x:v>111.5</x:v>
      </x:c>
      <x:c r="K10" s="21">
        <x:f>(K6+K9)/2</x:f>
        <x:v>110.5</x:v>
      </x:c>
      <x:c r="L10" s="21">
        <x:f>(L6+L9)/2</x:f>
        <x:v>109.5</x:v>
      </x:c>
      <x:c r="M10" s="21">
        <x:f>(M6+M9)/2</x:f>
        <x:v>108.5</x:v>
      </x:c>
    </x:row>
    <x:row r="11">
      <x:c r="A11" s="14" t="inlineStr">
        <x:is>
          <x:t xml:space="preserve">Salary cost</x:t>
        </x:is>
      </x:c>
      <x:c r="B11" s="22">
        <x:f>B10*(Assumptions!$D$10/12)*B$3</x:f>
        <x:v>1593333.3333333335</x:v>
      </x:c>
      <x:c r="C11" s="22">
        <x:f>C10*(Assumptions!$D$10/12)*C$3</x:f>
        <x:v>1583896.7062402398</x:v>
      </x:c>
      <x:c r="D11" s="22">
        <x:f>D10*(Assumptions!$D$10/12)*D$3</x:f>
        <x:v>1574403.8411822086</x:v>
      </x:c>
      <x:c r="E11" s="22">
        <x:f>E10*(Assumptions!$D$10/12)*E$3</x:f>
        <x:v>1564854.5181614119</x:v>
      </x:c>
      <x:c r="F11" s="22">
        <x:f>F10*(Assumptions!$D$10/12)*F$3</x:f>
        <x:v>1555248.5164369398</x:v>
      </x:c>
      <x:c r="G11" s="22">
        <x:f>G10*(Assumptions!$D$10/12)*G$3</x:f>
        <x:v>1545585.6145224748</x:v>
      </x:c>
      <x:c r="H11" s="22">
        <x:f>H10*(Assumptions!$D$10/12)*H$3</x:f>
        <x:v>1535865.590183956</x:v>
      </x:c>
      <x:c r="I11" s="22">
        <x:f>I10*(Assumptions!$D$10/12)*I$3</x:f>
        <x:v>1526088.220437239</x:v>
      </x:c>
      <x:c r="J11" s="22">
        <x:f>J10*(Assumptions!$D$10/12)*J$3</x:f>
        <x:v>1516253.2815457482</x:v>
      </x:c>
      <x:c r="K11" s="22">
        <x:f>K10*(Assumptions!$D$10/12)*K$3</x:f>
        <x:v>1506360.5490181209</x:v>
      </x:c>
      <x:c r="L11" s="22">
        <x:f>L10*(Assumptions!$D$10/12)*L$3</x:f>
        <x:v>1496409.7976058447</x:v>
      </x:c>
      <x:c r="M11" s="22">
        <x:f>M10*(Assumptions!$D$10/12)*M$3</x:f>
        <x:v>1486400.8013008905</x:v>
      </x:c>
    </x:row>
    <x:row r="12">
      <x:c r="A12" s="14" t="inlineStr">
        <x:is>
          <x:t xml:space="preserve">Variable pay cost</x:t>
        </x:is>
      </x:c>
      <x:c r="B12" s="22">
        <x:f>B11*Assumptions!$G$10</x:f>
        <x:v>0</x:v>
      </x:c>
      <x:c r="C12" s="22">
        <x:f>C11*Assumptions!$G$10</x:f>
        <x:v>0</x:v>
      </x:c>
      <x:c r="D12" s="22">
        <x:f>D11*Assumptions!$G$10</x:f>
        <x:v>0</x:v>
      </x:c>
      <x:c r="E12" s="22">
        <x:f>E11*Assumptions!$G$10</x:f>
        <x:v>0</x:v>
      </x:c>
      <x:c r="F12" s="22">
        <x:f>F11*Assumptions!$G$10</x:f>
        <x:v>0</x:v>
      </x:c>
      <x:c r="G12" s="22">
        <x:f>G11*Assumptions!$G$10</x:f>
        <x:v>0</x:v>
      </x:c>
      <x:c r="H12" s="22">
        <x:f>H11*Assumptions!$G$10</x:f>
        <x:v>0</x:v>
      </x:c>
      <x:c r="I12" s="22">
        <x:f>I11*Assumptions!$G$10</x:f>
        <x:v>0</x:v>
      </x:c>
      <x:c r="J12" s="22">
        <x:f>J11*Assumptions!$G$10</x:f>
        <x:v>0</x:v>
      </x:c>
      <x:c r="K12" s="22">
        <x:f>K11*Assumptions!$G$10</x:f>
        <x:v>0</x:v>
      </x:c>
      <x:c r="L12" s="22">
        <x:f>L11*Assumptions!$G$10</x:f>
        <x:v>0</x:v>
      </x:c>
      <x:c r="M12" s="22">
        <x:f>M11*Assumptions!$G$10</x:f>
        <x:v>0</x:v>
      </x:c>
    </x:row>
    <x:row r="13">
      <x:c r="A13" s="14" t="inlineStr">
        <x:is>
          <x:t xml:space="preserve">Benefits cost</x:t>
        </x:is>
      </x:c>
      <x:c r="B13" s="22">
        <x:f>B11*Assumptions!$E$10</x:f>
        <x:v>398333.3333333334</x:v>
      </x:c>
      <x:c r="C13" s="22">
        <x:f>C11*Assumptions!$E$10</x:f>
        <x:v>395974.17656005995</x:v>
      </x:c>
      <x:c r="D13" s="22">
        <x:f>D11*Assumptions!$E$10</x:f>
        <x:v>393600.96029555216</x:v>
      </x:c>
      <x:c r="E13" s="22">
        <x:f>E11*Assumptions!$E$10</x:f>
        <x:v>391213.62954035297</x:v>
      </x:c>
      <x:c r="F13" s="22">
        <x:f>F11*Assumptions!$E$10</x:f>
        <x:v>388812.12910923496</x:v>
      </x:c>
      <x:c r="G13" s="22">
        <x:f>G11*Assumptions!$E$10</x:f>
        <x:v>386396.4036306187</x:v>
      </x:c>
      <x:c r="H13" s="22">
        <x:f>H11*Assumptions!$E$10</x:f>
        <x:v>383966.397545989</x:v>
      </x:c>
      <x:c r="I13" s="22">
        <x:f>I11*Assumptions!$E$10</x:f>
        <x:v>381522.05510930973</x:v>
      </x:c>
      <x:c r="J13" s="22">
        <x:f>J11*Assumptions!$E$10</x:f>
        <x:v>379063.32038643706</x:v>
      </x:c>
      <x:c r="K13" s="22">
        <x:f>K11*Assumptions!$E$10</x:f>
        <x:v>376590.1372545302</x:v>
      </x:c>
      <x:c r="L13" s="22">
        <x:f>L11*Assumptions!$E$10</x:f>
        <x:v>374102.44940146117</x:v>
      </x:c>
      <x:c r="M13" s="22">
        <x:f>M11*Assumptions!$E$10</x:f>
        <x:v>371600.2003252226</x:v>
      </x:c>
    </x:row>
    <x:row r="14">
      <x:c r="A14" s="14" t="inlineStr">
        <x:is>
          <x:t xml:space="preserve">Recruiting cost</x:t>
        </x:is>
      </x:c>
      <x:c r="B14" s="22">
        <x:f>B7*Assumptions!$F$10</x:f>
        <x:v>0</x:v>
      </x:c>
      <x:c r="C14" s="22">
        <x:f>C7*Assumptions!$F$10</x:f>
        <x:v>0</x:v>
      </x:c>
      <x:c r="D14" s="22">
        <x:f>D7*Assumptions!$F$10</x:f>
        <x:v>0</x:v>
      </x:c>
      <x:c r="E14" s="22">
        <x:f>E7*Assumptions!$F$10</x:f>
        <x:v>0</x:v>
      </x:c>
      <x:c r="F14" s="22">
        <x:f>F7*Assumptions!$F$10</x:f>
        <x:v>0</x:v>
      </x:c>
      <x:c r="G14" s="22">
        <x:f>G7*Assumptions!$F$10</x:f>
        <x:v>0</x:v>
      </x:c>
      <x:c r="H14" s="22">
        <x:f>H7*Assumptions!$F$10</x:f>
        <x:v>0</x:v>
      </x:c>
      <x:c r="I14" s="22">
        <x:f>I7*Assumptions!$F$10</x:f>
        <x:v>0</x:v>
      </x:c>
      <x:c r="J14" s="22">
        <x:f>J7*Assumptions!$F$10</x:f>
        <x:v>0</x:v>
      </x:c>
      <x:c r="K14" s="22">
        <x:f>K7*Assumptions!$F$10</x:f>
        <x:v>0</x:v>
      </x:c>
      <x:c r="L14" s="22">
        <x:f>L7*Assumptions!$F$10</x:f>
        <x:v>0</x:v>
      </x:c>
      <x:c r="M14" s="22">
        <x:f>M7*Assumptions!$F$10</x:f>
        <x:v>0</x:v>
      </x:c>
    </x:row>
    <x:row r="15">
      <x:c r="A15" s="23" t="inlineStr">
        <x:is>
          <x:t xml:space="preserve">Total cost</x:t>
        </x:is>
      </x:c>
      <x:c r="B15" s="24">
        <x:f>B11+B12+B13+B14</x:f>
        <x:v>1991666.666666667</x:v>
      </x:c>
      <x:c r="C15" s="24">
        <x:f>C11+C12+C13+C14</x:f>
        <x:v>1979870.8828002997</x:v>
      </x:c>
      <x:c r="D15" s="24">
        <x:f>D11+D12+D13+D14</x:f>
        <x:v>1968004.8014777608</x:v>
      </x:c>
      <x:c r="E15" s="24">
        <x:f>E11+E12+E13+E14</x:f>
        <x:v>1956068.147701765</x:v>
      </x:c>
      <x:c r="F15" s="24">
        <x:f>F11+F12+F13+F14</x:f>
        <x:v>1944060.6455461748</x:v>
      </x:c>
      <x:c r="G15" s="24">
        <x:f>G11+G12+G13+G14</x:f>
        <x:v>1931982.0181530935</x:v>
      </x:c>
      <x:c r="H15" s="24">
        <x:f>H11+H12+H13+H14</x:f>
        <x:v>1919831.9877299452</x:v>
      </x:c>
      <x:c r="I15" s="24">
        <x:f>I11+I12+I13+I14</x:f>
        <x:v>1907610.2755465487</x:v>
      </x:c>
      <x:c r="J15" s="24">
        <x:f>J11+J12+J13+J14</x:f>
        <x:v>1895316.6019321852</x:v>
      </x:c>
      <x:c r="K15" s="24">
        <x:f>K11+K12+K13+K14</x:f>
        <x:v>1882950.686272651</x:v>
      </x:c>
      <x:c r="L15" s="24">
        <x:f>L11+L12+L13+L14</x:f>
        <x:v>1870512.2470073057</x:v>
      </x:c>
      <x:c r="M15" s="24">
        <x:f>M11+M12+M13+M14</x:f>
        <x:v>1858001.0016261132</x:v>
      </x:c>
    </x:row>
    <x:row r="16" ht="20" customHeight="1">
      <x:c r="A16" s="19" t="inlineStr">
        <x:is>
          <x:t xml:space="preserve">Marketing</x:t>
        </x:is>
      </x:c>
      <x:c r="B16" s="20" t="n"/>
      <x:c r="C16" s="20" t="n"/>
      <x:c r="D16" s="20" t="n"/>
      <x:c r="E16" s="20" t="n"/>
      <x:c r="F16" s="20" t="n"/>
      <x:c r="G16" s="20" t="n"/>
      <x:c r="H16" s="20" t="n"/>
      <x:c r="I16" s="20" t="n"/>
      <x:c r="J16" s="20" t="n"/>
      <x:c r="K16" s="20" t="n"/>
      <x:c r="L16" s="20" t="n"/>
      <x:c r="M16" s="20" t="n"/>
    </x:row>
    <x:row r="17">
      <x:c r="A17" s="14" t="inlineStr">
        <x:is>
          <x:t xml:space="preserve">Beginning HC</x:t>
        </x:is>
      </x:c>
      <x:c r="B17" s="21">
        <x:f>Assumptions!$B$11</x:f>
        <x:v>35</x:v>
      </x:c>
      <x:c r="C17" s="21">
        <x:f>B20</x:f>
        <x:v>35</x:v>
      </x:c>
      <x:c r="D17" s="21">
        <x:f>C20</x:f>
        <x:v>35</x:v>
      </x:c>
      <x:c r="E17" s="21">
        <x:f>D20</x:f>
        <x:v>35</x:v>
      </x:c>
      <x:c r="F17" s="21">
        <x:f>E20</x:f>
        <x:v>35</x:v>
      </x:c>
      <x:c r="G17" s="21">
        <x:f>F20</x:f>
        <x:v>35</x:v>
      </x:c>
      <x:c r="H17" s="21">
        <x:f>G20</x:f>
        <x:v>35</x:v>
      </x:c>
      <x:c r="I17" s="21">
        <x:f>H20</x:f>
        <x:v>35</x:v>
      </x:c>
      <x:c r="J17" s="21">
        <x:f>I20</x:f>
        <x:v>35</x:v>
      </x:c>
      <x:c r="K17" s="21">
        <x:f>J20</x:f>
        <x:v>35</x:v>
      </x:c>
      <x:c r="L17" s="21">
        <x:f>K20</x:f>
        <x:v>35</x:v>
      </x:c>
      <x:c r="M17" s="21">
        <x:f>L20</x:f>
        <x:v>35</x:v>
      </x:c>
    </x:row>
    <x:row r="18">
      <x:c r="A18" s="15" t="inlineStr">
        <x:is>
          <x:t xml:space="preserve">Planned Hires (input)</x:t>
        </x:is>
      </x:c>
      <x:c r="B18" s="10">
        <x:f>'Hiring Plan'!B5</x:f>
        <x:v>0</x:v>
      </x:c>
      <x:c r="C18" s="10">
        <x:f>'Hiring Plan'!C5</x:f>
        <x:v>0</x:v>
      </x:c>
      <x:c r="D18" s="10">
        <x:f>'Hiring Plan'!D5</x:f>
        <x:v>0</x:v>
      </x:c>
      <x:c r="E18" s="10">
        <x:f>'Hiring Plan'!E5</x:f>
        <x:v>0</x:v>
      </x:c>
      <x:c r="F18" s="10">
        <x:f>'Hiring Plan'!F5</x:f>
        <x:v>0</x:v>
      </x:c>
      <x:c r="G18" s="10">
        <x:f>'Hiring Plan'!G5</x:f>
        <x:v>0</x:v>
      </x:c>
      <x:c r="H18" s="10">
        <x:f>'Hiring Plan'!H5</x:f>
        <x:v>0</x:v>
      </x:c>
      <x:c r="I18" s="10">
        <x:f>'Hiring Plan'!I5</x:f>
        <x:v>0</x:v>
      </x:c>
      <x:c r="J18" s="10">
        <x:f>'Hiring Plan'!J5</x:f>
        <x:v>0</x:v>
      </x:c>
      <x:c r="K18" s="10">
        <x:f>'Hiring Plan'!K5</x:f>
        <x:v>0</x:v>
      </x:c>
      <x:c r="L18" s="10">
        <x:f>'Hiring Plan'!L5</x:f>
        <x:v>0</x:v>
      </x:c>
      <x:c r="M18" s="10">
        <x:f>'Hiring Plan'!M5</x:f>
        <x:v>0</x:v>
      </x:c>
    </x:row>
    <x:row r="19">
      <x:c r="A19" s="14" t="inlineStr">
        <x:is>
          <x:t xml:space="preserve">Attrition (calc)</x:t>
        </x:is>
      </x:c>
      <x:c r="B19" s="21">
        <x:f>ROUND(B17*Assumptions!$C$11/12,0)</x:f>
        <x:v>0</x:v>
      </x:c>
      <x:c r="C19" s="21">
        <x:f>ROUND(C17*Assumptions!$C$11/12,0)</x:f>
        <x:v>0</x:v>
      </x:c>
      <x:c r="D19" s="21">
        <x:f>ROUND(D17*Assumptions!$C$11/12,0)</x:f>
        <x:v>0</x:v>
      </x:c>
      <x:c r="E19" s="21">
        <x:f>ROUND(E17*Assumptions!$C$11/12,0)</x:f>
        <x:v>0</x:v>
      </x:c>
      <x:c r="F19" s="21">
        <x:f>ROUND(F17*Assumptions!$C$11/12,0)</x:f>
        <x:v>0</x:v>
      </x:c>
      <x:c r="G19" s="21">
        <x:f>ROUND(G17*Assumptions!$C$11/12,0)</x:f>
        <x:v>0</x:v>
      </x:c>
      <x:c r="H19" s="21">
        <x:f>ROUND(H17*Assumptions!$C$11/12,0)</x:f>
        <x:v>0</x:v>
      </x:c>
      <x:c r="I19" s="21">
        <x:f>ROUND(I17*Assumptions!$C$11/12,0)</x:f>
        <x:v>0</x:v>
      </x:c>
      <x:c r="J19" s="21">
        <x:f>ROUND(J17*Assumptions!$C$11/12,0)</x:f>
        <x:v>0</x:v>
      </x:c>
      <x:c r="K19" s="21">
        <x:f>ROUND(K17*Assumptions!$C$11/12,0)</x:f>
        <x:v>0</x:v>
      </x:c>
      <x:c r="L19" s="21">
        <x:f>ROUND(L17*Assumptions!$C$11/12,0)</x:f>
        <x:v>0</x:v>
      </x:c>
      <x:c r="M19" s="21">
        <x:f>ROUND(M17*Assumptions!$C$11/12,0)</x:f>
        <x:v>0</x:v>
      </x:c>
    </x:row>
    <x:row r="20">
      <x:c r="A20" s="14" t="inlineStr">
        <x:is>
          <x:t xml:space="preserve">Ending HC</x:t>
        </x:is>
      </x:c>
      <x:c r="B20" s="21">
        <x:f>B17+B18-B19</x:f>
        <x:v>35</x:v>
      </x:c>
      <x:c r="C20" s="21">
        <x:f>C17+C18-C19</x:f>
        <x:v>35</x:v>
      </x:c>
      <x:c r="D20" s="21">
        <x:f>D17+D18-D19</x:f>
        <x:v>35</x:v>
      </x:c>
      <x:c r="E20" s="21">
        <x:f>E17+E18-E19</x:f>
        <x:v>35</x:v>
      </x:c>
      <x:c r="F20" s="21">
        <x:f>F17+F18-F19</x:f>
        <x:v>35</x:v>
      </x:c>
      <x:c r="G20" s="21">
        <x:f>G17+G18-G19</x:f>
        <x:v>35</x:v>
      </x:c>
      <x:c r="H20" s="21">
        <x:f>H17+H18-H19</x:f>
        <x:v>35</x:v>
      </x:c>
      <x:c r="I20" s="21">
        <x:f>I17+I18-I19</x:f>
        <x:v>35</x:v>
      </x:c>
      <x:c r="J20" s="21">
        <x:f>J17+J18-J19</x:f>
        <x:v>35</x:v>
      </x:c>
      <x:c r="K20" s="21">
        <x:f>K17+K18-K19</x:f>
        <x:v>35</x:v>
      </x:c>
      <x:c r="L20" s="21">
        <x:f>L17+L18-L19</x:f>
        <x:v>35</x:v>
      </x:c>
      <x:c r="M20" s="21">
        <x:f>M17+M18-M19</x:f>
        <x:v>35</x:v>
      </x:c>
    </x:row>
    <x:row r="21">
      <x:c r="A21" s="14" t="inlineStr">
        <x:is>
          <x:t xml:space="preserve">Avg HC</x:t>
        </x:is>
      </x:c>
      <x:c r="B21" s="21">
        <x:f>(B17+B20)/2</x:f>
        <x:v>35</x:v>
      </x:c>
      <x:c r="C21" s="21">
        <x:f>(C17+C20)/2</x:f>
        <x:v>35</x:v>
      </x:c>
      <x:c r="D21" s="21">
        <x:f>(D17+D20)/2</x:f>
        <x:v>35</x:v>
      </x:c>
      <x:c r="E21" s="21">
        <x:f>(E17+E20)/2</x:f>
        <x:v>35</x:v>
      </x:c>
      <x:c r="F21" s="21">
        <x:f>(F17+F20)/2</x:f>
        <x:v>35</x:v>
      </x:c>
      <x:c r="G21" s="21">
        <x:f>(G17+G20)/2</x:f>
        <x:v>35</x:v>
      </x:c>
      <x:c r="H21" s="21">
        <x:f>(H17+H20)/2</x:f>
        <x:v>35</x:v>
      </x:c>
      <x:c r="I21" s="21">
        <x:f>(I17+I20)/2</x:f>
        <x:v>35</x:v>
      </x:c>
      <x:c r="J21" s="21">
        <x:f>(J17+J20)/2</x:f>
        <x:v>35</x:v>
      </x:c>
      <x:c r="K21" s="21">
        <x:f>(K17+K20)/2</x:f>
        <x:v>35</x:v>
      </x:c>
      <x:c r="L21" s="21">
        <x:f>(L17+L20)/2</x:f>
        <x:v>35</x:v>
      </x:c>
      <x:c r="M21" s="21">
        <x:f>(M17+M20)/2</x:f>
        <x:v>35</x:v>
      </x:c>
    </x:row>
    <x:row r="22">
      <x:c r="A22" s="14" t="inlineStr">
        <x:is>
          <x:t xml:space="preserve">Salary cost</x:t>
        </x:is>
      </x:c>
      <x:c r="B22" s="22">
        <x:f>B21*(Assumptions!$D$11/12)*B$3</x:f>
        <x:v>320833.3333333333</x:v>
      </x:c>
      <x:c r="C22" s="22">
        <x:f>C21*(Assumptions!$D$11/12)*C$3</x:f>
        <x:v>321624.59488528076</x:v>
      </x:c>
      <x:c r="D22" s="22">
        <x:f>D21*(Assumptions!$D$11/12)*D$3</x:f>
        <x:v>322417.80790167564</x:v>
      </x:c>
      <x:c r="E22" s="22">
        <x:f>E21*(Assumptions!$D$11/12)*E$3</x:f>
        <x:v>323212.9771953559</x:v>
      </x:c>
      <x:c r="F22" s="22">
        <x:f>F21*(Assumptions!$D$11/12)*F$3</x:f>
        <x:v>324010.1075910291</x:v>
      </x:c>
      <x:c r="G22" s="22">
        <x:f>G21*(Assumptions!$D$11/12)*G$3</x:f>
        <x:v>324809.2039253017</x:v>
      </x:c>
      <x:c r="H22" s="22">
        <x:f>H21*(Assumptions!$D$11/12)*H$3</x:f>
        <x:v>325610.2710467087</x:v>
      </x:c>
      <x:c r="I22" s="22">
        <x:f>I21*(Assumptions!$D$11/12)*I$3</x:f>
        <x:v>326413.31381574273</x:v>
      </x:c>
      <x:c r="J22" s="22">
        <x:f>J21*(Assumptions!$D$11/12)*J$3</x:f>
        <x:v>327218.337104884</x:v>
      </x:c>
      <x:c r="K22" s="22">
        <x:f>K21*(Assumptions!$D$11/12)*K$3</x:f>
        <x:v>328025.3457986292</x:v>
      </x:c>
      <x:c r="L22" s="22">
        <x:f>L21*(Assumptions!$D$11/12)*L$3</x:f>
        <x:v>328834.3447935218</x:v>
      </x:c>
      <x:c r="M22" s="22">
        <x:f>M21*(Assumptions!$D$11/12)*M$3</x:f>
        <x:v>329645.33899818134</x:v>
      </x:c>
    </x:row>
    <x:row r="23">
      <x:c r="A23" s="14" t="inlineStr">
        <x:is>
          <x:t xml:space="preserve">Variable pay cost</x:t>
        </x:is>
      </x:c>
      <x:c r="B23" s="22">
        <x:f>B22*Assumptions!$G$11</x:f>
        <x:v>16041.666666666666</x:v>
      </x:c>
      <x:c r="C23" s="22">
        <x:f>C22*Assumptions!$G$11</x:f>
        <x:v>16081.22974426404</x:v>
      </x:c>
      <x:c r="D23" s="22">
        <x:f>D22*Assumptions!$G$11</x:f>
        <x:v>16120.890395083783</x:v>
      </x:c>
      <x:c r="E23" s="22">
        <x:f>E22*Assumptions!$G$11</x:f>
        <x:v>16160.648859767796</x:v>
      </x:c>
      <x:c r="F23" s="22">
        <x:f>F22*Assumptions!$G$11</x:f>
        <x:v>16200.505379551454</x:v>
      </x:c>
      <x:c r="G23" s="22">
        <x:f>G22*Assumptions!$G$11</x:f>
        <x:v>16240.460196265087</x:v>
      </x:c>
      <x:c r="H23" s="22">
        <x:f>H22*Assumptions!$G$11</x:f>
        <x:v>16280.513552335435</x:v>
      </x:c>
      <x:c r="I23" s="22">
        <x:f>I22*Assumptions!$G$11</x:f>
        <x:v>16320.665690787137</x:v>
      </x:c>
      <x:c r="J23" s="22">
        <x:f>J22*Assumptions!$G$11</x:f>
        <x:v>16360.916855244199</x:v>
      </x:c>
      <x:c r="K23" s="22">
        <x:f>K22*Assumptions!$G$11</x:f>
        <x:v>16401.26728993146</x:v>
      </x:c>
      <x:c r="L23" s="22">
        <x:f>L22*Assumptions!$G$11</x:f>
        <x:v>16441.71723967609</x:v>
      </x:c>
      <x:c r="M23" s="22">
        <x:f>M22*Assumptions!$G$11</x:f>
        <x:v>16482.266949909066</x:v>
      </x:c>
    </x:row>
    <x:row r="24">
      <x:c r="A24" s="14" t="inlineStr">
        <x:is>
          <x:t xml:space="preserve">Benefits cost</x:t>
        </x:is>
      </x:c>
      <x:c r="B24" s="22">
        <x:f>B22*Assumptions!$E$11</x:f>
        <x:v>80208.33333333333</x:v>
      </x:c>
      <x:c r="C24" s="22">
        <x:f>C22*Assumptions!$E$11</x:f>
        <x:v>80406.14872132019</x:v>
      </x:c>
      <x:c r="D24" s="22">
        <x:f>D22*Assumptions!$E$11</x:f>
        <x:v>80604.45197541891</x:v>
      </x:c>
      <x:c r="E24" s="22">
        <x:f>E22*Assumptions!$E$11</x:f>
        <x:v>80803.24429883898</x:v>
      </x:c>
      <x:c r="F24" s="22">
        <x:f>F22*Assumptions!$E$11</x:f>
        <x:v>81002.52689775727</x:v>
      </x:c>
      <x:c r="G24" s="22">
        <x:f>G22*Assumptions!$E$11</x:f>
        <x:v>81202.30098132543</x:v>
      </x:c>
      <x:c r="H24" s="22">
        <x:f>H22*Assumptions!$E$11</x:f>
        <x:v>81402.56776167717</x:v>
      </x:c>
      <x:c r="I24" s="22">
        <x:f>I22*Assumptions!$E$11</x:f>
        <x:v>81603.32845393568</x:v>
      </x:c>
      <x:c r="J24" s="22">
        <x:f>J22*Assumptions!$E$11</x:f>
        <x:v>81804.584276221</x:v>
      </x:c>
      <x:c r="K24" s="22">
        <x:f>K22*Assumptions!$E$11</x:f>
        <x:v>82006.3364496573</x:v>
      </x:c>
      <x:c r="L24" s="22">
        <x:f>L22*Assumptions!$E$11</x:f>
        <x:v>82208.58619838045</x:v>
      </x:c>
      <x:c r="M24" s="22">
        <x:f>M22*Assumptions!$E$11</x:f>
        <x:v>82411.33474954533</x:v>
      </x:c>
    </x:row>
    <x:row r="25">
      <x:c r="A25" s="14" t="inlineStr">
        <x:is>
          <x:t xml:space="preserve">Recruiting cost</x:t>
        </x:is>
      </x:c>
      <x:c r="B25" s="22">
        <x:f>B18*Assumptions!$F$11</x:f>
        <x:v>0</x:v>
      </x:c>
      <x:c r="C25" s="22">
        <x:f>C18*Assumptions!$F$11</x:f>
        <x:v>0</x:v>
      </x:c>
      <x:c r="D25" s="22">
        <x:f>D18*Assumptions!$F$11</x:f>
        <x:v>0</x:v>
      </x:c>
      <x:c r="E25" s="22">
        <x:f>E18*Assumptions!$F$11</x:f>
        <x:v>0</x:v>
      </x:c>
      <x:c r="F25" s="22">
        <x:f>F18*Assumptions!$F$11</x:f>
        <x:v>0</x:v>
      </x:c>
      <x:c r="G25" s="22">
        <x:f>G18*Assumptions!$F$11</x:f>
        <x:v>0</x:v>
      </x:c>
      <x:c r="H25" s="22">
        <x:f>H18*Assumptions!$F$11</x:f>
        <x:v>0</x:v>
      </x:c>
      <x:c r="I25" s="22">
        <x:f>I18*Assumptions!$F$11</x:f>
        <x:v>0</x:v>
      </x:c>
      <x:c r="J25" s="22">
        <x:f>J18*Assumptions!$F$11</x:f>
        <x:v>0</x:v>
      </x:c>
      <x:c r="K25" s="22">
        <x:f>K18*Assumptions!$F$11</x:f>
        <x:v>0</x:v>
      </x:c>
      <x:c r="L25" s="22">
        <x:f>L18*Assumptions!$F$11</x:f>
        <x:v>0</x:v>
      </x:c>
      <x:c r="M25" s="22">
        <x:f>M18*Assumptions!$F$11</x:f>
        <x:v>0</x:v>
      </x:c>
    </x:row>
    <x:row r="26">
      <x:c r="A26" s="23" t="inlineStr">
        <x:is>
          <x:t xml:space="preserve">Total cost</x:t>
        </x:is>
      </x:c>
      <x:c r="B26" s="24">
        <x:f>B22+B23+B24+B25</x:f>
        <x:v>417083.3333333333</x:v>
      </x:c>
      <x:c r="C26" s="24">
        <x:f>C22+C23+C24+C25</x:f>
        <x:v>418111.973350865</x:v>
      </x:c>
      <x:c r="D26" s="24">
        <x:f>D22+D23+D24+D25</x:f>
        <x:v>419143.1502721783</x:v>
      </x:c>
      <x:c r="E26" s="24">
        <x:f>E22+E23+E24+E25</x:f>
        <x:v>420176.87035396276</x:v>
      </x:c>
      <x:c r="F26" s="24">
        <x:f>F22+F23+F24+F25</x:f>
        <x:v>421213.1398683378</x:v>
      </x:c>
      <x:c r="G26" s="24">
        <x:f>G22+G23+G24+G25</x:f>
        <x:v>422251.96510289225</x:v>
      </x:c>
      <x:c r="H26" s="24">
        <x:f>H22+H23+H24+H25</x:f>
        <x:v>423293.3523607213</x:v>
      </x:c>
      <x:c r="I26" s="24">
        <x:f>I22+I23+I24+I25</x:f>
        <x:v>424337.30796046555</x:v>
      </x:c>
      <x:c r="J26" s="24">
        <x:f>J22+J23+J24+J25</x:f>
        <x:v>425383.83823634917</x:v>
      </x:c>
      <x:c r="K26" s="24">
        <x:f>K22+K23+K24+K25</x:f>
        <x:v>426432.949538218</x:v>
      </x:c>
      <x:c r="L26" s="24">
        <x:f>L22+L23+L24+L25</x:f>
        <x:v>427484.64823157835</x:v>
      </x:c>
      <x:c r="M26" s="24">
        <x:f>M22+M23+M24+M25</x:f>
        <x:v>428538.9406976357</x:v>
      </x:c>
    </x:row>
    <x:row r="27" ht="20" customHeight="1">
      <x:c r="A27" s="19" t="inlineStr">
        <x:is>
          <x:t xml:space="preserve">Legal</x:t>
        </x:is>
      </x:c>
      <x:c r="B27" s="20" t="n"/>
      <x:c r="C27" s="20" t="n"/>
      <x:c r="D27" s="20" t="n"/>
      <x:c r="E27" s="20" t="n"/>
      <x:c r="F27" s="20" t="n"/>
      <x:c r="G27" s="20" t="n"/>
      <x:c r="H27" s="20" t="n"/>
      <x:c r="I27" s="20" t="n"/>
      <x:c r="J27" s="20" t="n"/>
      <x:c r="K27" s="20" t="n"/>
      <x:c r="L27" s="20" t="n"/>
      <x:c r="M27" s="20" t="n"/>
    </x:row>
    <x:row r="28">
      <x:c r="A28" s="14" t="inlineStr">
        <x:is>
          <x:t xml:space="preserve">Beginning HC</x:t>
        </x:is>
      </x:c>
      <x:c r="B28" s="21">
        <x:f>Assumptions!$B$12</x:f>
        <x:v>12</x:v>
      </x:c>
      <x:c r="C28" s="21">
        <x:f>B31</x:f>
        <x:v>12</x:v>
      </x:c>
      <x:c r="D28" s="21">
        <x:f>C31</x:f>
        <x:v>12</x:v>
      </x:c>
      <x:c r="E28" s="21">
        <x:f>D31</x:f>
        <x:v>12</x:v>
      </x:c>
      <x:c r="F28" s="21">
        <x:f>E31</x:f>
        <x:v>12</x:v>
      </x:c>
      <x:c r="G28" s="21">
        <x:f>F31</x:f>
        <x:v>12</x:v>
      </x:c>
      <x:c r="H28" s="21">
        <x:f>G31</x:f>
        <x:v>12</x:v>
      </x:c>
      <x:c r="I28" s="21">
        <x:f>H31</x:f>
        <x:v>12</x:v>
      </x:c>
      <x:c r="J28" s="21">
        <x:f>I31</x:f>
        <x:v>12</x:v>
      </x:c>
      <x:c r="K28" s="21">
        <x:f>J31</x:f>
        <x:v>12</x:v>
      </x:c>
      <x:c r="L28" s="21">
        <x:f>K31</x:f>
        <x:v>12</x:v>
      </x:c>
      <x:c r="M28" s="21">
        <x:f>L31</x:f>
        <x:v>12</x:v>
      </x:c>
    </x:row>
    <x:row r="29">
      <x:c r="A29" s="15" t="inlineStr">
        <x:is>
          <x:t xml:space="preserve">Planned Hires (input)</x:t>
        </x:is>
      </x:c>
      <x:c r="B29" s="10">
        <x:f>'Hiring Plan'!B6</x:f>
        <x:v>0</x:v>
      </x:c>
      <x:c r="C29" s="10">
        <x:f>'Hiring Plan'!C6</x:f>
        <x:v>0</x:v>
      </x:c>
      <x:c r="D29" s="10">
        <x:f>'Hiring Plan'!D6</x:f>
        <x:v>0</x:v>
      </x:c>
      <x:c r="E29" s="10">
        <x:f>'Hiring Plan'!E6</x:f>
        <x:v>0</x:v>
      </x:c>
      <x:c r="F29" s="10">
        <x:f>'Hiring Plan'!F6</x:f>
        <x:v>0</x:v>
      </x:c>
      <x:c r="G29" s="10">
        <x:f>'Hiring Plan'!G6</x:f>
        <x:v>0</x:v>
      </x:c>
      <x:c r="H29" s="10">
        <x:f>'Hiring Plan'!H6</x:f>
        <x:v>0</x:v>
      </x:c>
      <x:c r="I29" s="10">
        <x:f>'Hiring Plan'!I6</x:f>
        <x:v>0</x:v>
      </x:c>
      <x:c r="J29" s="10">
        <x:f>'Hiring Plan'!J6</x:f>
        <x:v>0</x:v>
      </x:c>
      <x:c r="K29" s="10">
        <x:f>'Hiring Plan'!K6</x:f>
        <x:v>0</x:v>
      </x:c>
      <x:c r="L29" s="10">
        <x:f>'Hiring Plan'!L6</x:f>
        <x:v>0</x:v>
      </x:c>
      <x:c r="M29" s="10">
        <x:f>'Hiring Plan'!M6</x:f>
        <x:v>0</x:v>
      </x:c>
    </x:row>
    <x:row r="30">
      <x:c r="A30" s="14" t="inlineStr">
        <x:is>
          <x:t xml:space="preserve">Attrition (calc)</x:t>
        </x:is>
      </x:c>
      <x:c r="B30" s="21">
        <x:f>ROUND(B28*Assumptions!$C$12/12,0)</x:f>
        <x:v>0</x:v>
      </x:c>
      <x:c r="C30" s="21">
        <x:f>ROUND(C28*Assumptions!$C$12/12,0)</x:f>
        <x:v>0</x:v>
      </x:c>
      <x:c r="D30" s="21">
        <x:f>ROUND(D28*Assumptions!$C$12/12,0)</x:f>
        <x:v>0</x:v>
      </x:c>
      <x:c r="E30" s="21">
        <x:f>ROUND(E28*Assumptions!$C$12/12,0)</x:f>
        <x:v>0</x:v>
      </x:c>
      <x:c r="F30" s="21">
        <x:f>ROUND(F28*Assumptions!$C$12/12,0)</x:f>
        <x:v>0</x:v>
      </x:c>
      <x:c r="G30" s="21">
        <x:f>ROUND(G28*Assumptions!$C$12/12,0)</x:f>
        <x:v>0</x:v>
      </x:c>
      <x:c r="H30" s="21">
        <x:f>ROUND(H28*Assumptions!$C$12/12,0)</x:f>
        <x:v>0</x:v>
      </x:c>
      <x:c r="I30" s="21">
        <x:f>ROUND(I28*Assumptions!$C$12/12,0)</x:f>
        <x:v>0</x:v>
      </x:c>
      <x:c r="J30" s="21">
        <x:f>ROUND(J28*Assumptions!$C$12/12,0)</x:f>
        <x:v>0</x:v>
      </x:c>
      <x:c r="K30" s="21">
        <x:f>ROUND(K28*Assumptions!$C$12/12,0)</x:f>
        <x:v>0</x:v>
      </x:c>
      <x:c r="L30" s="21">
        <x:f>ROUND(L28*Assumptions!$C$12/12,0)</x:f>
        <x:v>0</x:v>
      </x:c>
      <x:c r="M30" s="21">
        <x:f>ROUND(M28*Assumptions!$C$12/12,0)</x:f>
        <x:v>0</x:v>
      </x:c>
    </x:row>
    <x:row r="31">
      <x:c r="A31" s="14" t="inlineStr">
        <x:is>
          <x:t xml:space="preserve">Ending HC</x:t>
        </x:is>
      </x:c>
      <x:c r="B31" s="21">
        <x:f>B28+B29-B30</x:f>
        <x:v>12</x:v>
      </x:c>
      <x:c r="C31" s="21">
        <x:f>C28+C29-C30</x:f>
        <x:v>12</x:v>
      </x:c>
      <x:c r="D31" s="21">
        <x:f>D28+D29-D30</x:f>
        <x:v>12</x:v>
      </x:c>
      <x:c r="E31" s="21">
        <x:f>E28+E29-E30</x:f>
        <x:v>12</x:v>
      </x:c>
      <x:c r="F31" s="21">
        <x:f>F28+F29-F30</x:f>
        <x:v>12</x:v>
      </x:c>
      <x:c r="G31" s="21">
        <x:f>G28+G29-G30</x:f>
        <x:v>12</x:v>
      </x:c>
      <x:c r="H31" s="21">
        <x:f>H28+H29-H30</x:f>
        <x:v>12</x:v>
      </x:c>
      <x:c r="I31" s="21">
        <x:f>I28+I29-I30</x:f>
        <x:v>12</x:v>
      </x:c>
      <x:c r="J31" s="21">
        <x:f>J28+J29-J30</x:f>
        <x:v>12</x:v>
      </x:c>
      <x:c r="K31" s="21">
        <x:f>K28+K29-K30</x:f>
        <x:v>12</x:v>
      </x:c>
      <x:c r="L31" s="21">
        <x:f>L28+L29-L30</x:f>
        <x:v>12</x:v>
      </x:c>
      <x:c r="M31" s="21">
        <x:f>M28+M29-M30</x:f>
        <x:v>12</x:v>
      </x:c>
    </x:row>
    <x:row r="32">
      <x:c r="A32" s="14" t="inlineStr">
        <x:is>
          <x:t xml:space="preserve">Avg HC</x:t>
        </x:is>
      </x:c>
      <x:c r="B32" s="21">
        <x:f>(B28+B31)/2</x:f>
        <x:v>12</x:v>
      </x:c>
      <x:c r="C32" s="21">
        <x:f>(C28+C31)/2</x:f>
        <x:v>12</x:v>
      </x:c>
      <x:c r="D32" s="21">
        <x:f>(D28+D31)/2</x:f>
        <x:v>12</x:v>
      </x:c>
      <x:c r="E32" s="21">
        <x:f>(E28+E31)/2</x:f>
        <x:v>12</x:v>
      </x:c>
      <x:c r="F32" s="21">
        <x:f>(F28+F31)/2</x:f>
        <x:v>12</x:v>
      </x:c>
      <x:c r="G32" s="21">
        <x:f>(G28+G31)/2</x:f>
        <x:v>12</x:v>
      </x:c>
      <x:c r="H32" s="21">
        <x:f>(H28+H31)/2</x:f>
        <x:v>12</x:v>
      </x:c>
      <x:c r="I32" s="21">
        <x:f>(I28+I31)/2</x:f>
        <x:v>12</x:v>
      </x:c>
      <x:c r="J32" s="21">
        <x:f>(J28+J31)/2</x:f>
        <x:v>12</x:v>
      </x:c>
      <x:c r="K32" s="21">
        <x:f>(K28+K31)/2</x:f>
        <x:v>12</x:v>
      </x:c>
      <x:c r="L32" s="21">
        <x:f>(L28+L31)/2</x:f>
        <x:v>12</x:v>
      </x:c>
      <x:c r="M32" s="21">
        <x:f>(M28+M31)/2</x:f>
        <x:v>12</x:v>
      </x:c>
    </x:row>
    <x:row r="33">
      <x:c r="A33" s="14" t="inlineStr">
        <x:is>
          <x:t xml:space="preserve">Salary cost</x:t>
        </x:is>
      </x:c>
      <x:c r="B33" s="22">
        <x:f>B32*(Assumptions!$D$12/12)*B$3</x:f>
        <x:v>190000</x:v>
      </x:c>
      <x:c r="C33" s="22">
        <x:f>C32*(Assumptions!$D$12/12)*C$3</x:f>
        <x:v>190468.5912567377</x:v>
      </x:c>
      <x:c r="D33" s="22">
        <x:f>D32*(Assumptions!$D$12/12)*D$3</x:f>
        <x:v>190938.3381859274</x:v>
      </x:c>
      <x:c r="E33" s="22">
        <x:f>E32*(Assumptions!$D$12/12)*E$3</x:f>
        <x:v>191409.24363776925</x:v>
      </x:c>
      <x:c r="F33" s="22">
        <x:f>F32*(Assumptions!$D$12/12)*F$3</x:f>
        <x:v>191881.31046949257</x:v>
      </x:c>
      <x:c r="G33" s="22">
        <x:f>G32*(Assumptions!$D$12/12)*G$3</x:f>
        <x:v>192354.5415453735</x:v>
      </x:c>
      <x:c r="H33" s="22">
        <x:f>H32*(Assumptions!$D$12/12)*H$3</x:f>
        <x:v>192828.93973675216</x:v>
      </x:c>
      <x:c r="I33" s="22">
        <x:f>I32*(Assumptions!$D$12/12)*I$3</x:f>
        <x:v>193304.50792205025</x:v>
      </x:c>
      <x:c r="J33" s="22">
        <x:f>J32*(Assumptions!$D$12/12)*J$3</x:f>
        <x:v>193781.24898678844</x:v>
      </x:c>
      <x:c r="K33" s="22">
        <x:f>K32*(Assumptions!$D$12/12)*K$3</x:f>
        <x:v>194259.1658236038</x:v>
      </x:c>
      <x:c r="L33" s="22">
        <x:f>L32*(Assumptions!$D$12/12)*L$3</x:f>
        <x:v>194738.26133226746</x:v>
      </x:c>
      <x:c r="M33" s="22">
        <x:f>M32*(Assumptions!$D$12/12)*M$3</x:f>
        <x:v>195218.5384197022</x:v>
      </x:c>
    </x:row>
    <x:row r="34">
      <x:c r="A34" s="14" t="inlineStr">
        <x:is>
          <x:t xml:space="preserve">Variable pay cost</x:t>
        </x:is>
      </x:c>
      <x:c r="B34" s="22">
        <x:f>B33*Assumptions!$G$12</x:f>
        <x:v>0</x:v>
      </x:c>
      <x:c r="C34" s="22">
        <x:f>C33*Assumptions!$G$12</x:f>
        <x:v>0</x:v>
      </x:c>
      <x:c r="D34" s="22">
        <x:f>D33*Assumptions!$G$12</x:f>
        <x:v>0</x:v>
      </x:c>
      <x:c r="E34" s="22">
        <x:f>E33*Assumptions!$G$12</x:f>
        <x:v>0</x:v>
      </x:c>
      <x:c r="F34" s="22">
        <x:f>F33*Assumptions!$G$12</x:f>
        <x:v>0</x:v>
      </x:c>
      <x:c r="G34" s="22">
        <x:f>G33*Assumptions!$G$12</x:f>
        <x:v>0</x:v>
      </x:c>
      <x:c r="H34" s="22">
        <x:f>H33*Assumptions!$G$12</x:f>
        <x:v>0</x:v>
      </x:c>
      <x:c r="I34" s="22">
        <x:f>I33*Assumptions!$G$12</x:f>
        <x:v>0</x:v>
      </x:c>
      <x:c r="J34" s="22">
        <x:f>J33*Assumptions!$G$12</x:f>
        <x:v>0</x:v>
      </x:c>
      <x:c r="K34" s="22">
        <x:f>K33*Assumptions!$G$12</x:f>
        <x:v>0</x:v>
      </x:c>
      <x:c r="L34" s="22">
        <x:f>L33*Assumptions!$G$12</x:f>
        <x:v>0</x:v>
      </x:c>
      <x:c r="M34" s="22">
        <x:f>M33*Assumptions!$G$12</x:f>
        <x:v>0</x:v>
      </x:c>
    </x:row>
    <x:row r="35">
      <x:c r="A35" s="14" t="inlineStr">
        <x:is>
          <x:t xml:space="preserve">Benefits cost</x:t>
        </x:is>
      </x:c>
      <x:c r="B35" s="22">
        <x:f>B33*Assumptions!$E$12</x:f>
        <x:v>41800</x:v>
      </x:c>
      <x:c r="C35" s="22">
        <x:f>C33*Assumptions!$E$12</x:f>
        <x:v>41903.090076482295</x:v>
      </x:c>
      <x:c r="D35" s="22">
        <x:f>D33*Assumptions!$E$12</x:f>
        <x:v>42006.43440090403</x:v>
      </x:c>
      <x:c r="E35" s="22">
        <x:f>E33*Assumptions!$E$12</x:f>
        <x:v>42110.03360030924</x:v>
      </x:c>
      <x:c r="F35" s="22">
        <x:f>F33*Assumptions!$E$12</x:f>
        <x:v>42213.88830328837</x:v>
      </x:c>
      <x:c r="G35" s="22">
        <x:f>G33*Assumptions!$E$12</x:f>
        <x:v>42317.999139982174</x:v>
      </x:c>
      <x:c r="H35" s="22">
        <x:f>H33*Assumptions!$E$12</x:f>
        <x:v>42422.366742085476</x:v>
      </x:c>
      <x:c r="I35" s="22">
        <x:f>I33*Assumptions!$E$12</x:f>
        <x:v>42526.99174285105</x:v>
      </x:c>
      <x:c r="J35" s="22">
        <x:f>J33*Assumptions!$E$12</x:f>
        <x:v>42631.87477709346</x:v>
      </x:c>
      <x:c r="K35" s="22">
        <x:f>K33*Assumptions!$E$12</x:f>
        <x:v>42737.01648119284</x:v>
      </x:c>
      <x:c r="L35" s="22">
        <x:f>L33*Assumptions!$E$12</x:f>
        <x:v>42842.417493098845</x:v>
      </x:c>
      <x:c r="M35" s="22">
        <x:f>M33*Assumptions!$E$12</x:f>
        <x:v>42948.078452334485</x:v>
      </x:c>
    </x:row>
    <x:row r="36">
      <x:c r="A36" s="14" t="inlineStr">
        <x:is>
          <x:t xml:space="preserve">Recruiting cost</x:t>
        </x:is>
      </x:c>
      <x:c r="B36" s="22">
        <x:f>B29*Assumptions!$F$12</x:f>
        <x:v>0</x:v>
      </x:c>
      <x:c r="C36" s="22">
        <x:f>C29*Assumptions!$F$12</x:f>
        <x:v>0</x:v>
      </x:c>
      <x:c r="D36" s="22">
        <x:f>D29*Assumptions!$F$12</x:f>
        <x:v>0</x:v>
      </x:c>
      <x:c r="E36" s="22">
        <x:f>E29*Assumptions!$F$12</x:f>
        <x:v>0</x:v>
      </x:c>
      <x:c r="F36" s="22">
        <x:f>F29*Assumptions!$F$12</x:f>
        <x:v>0</x:v>
      </x:c>
      <x:c r="G36" s="22">
        <x:f>G29*Assumptions!$F$12</x:f>
        <x:v>0</x:v>
      </x:c>
      <x:c r="H36" s="22">
        <x:f>H29*Assumptions!$F$12</x:f>
        <x:v>0</x:v>
      </x:c>
      <x:c r="I36" s="22">
        <x:f>I29*Assumptions!$F$12</x:f>
        <x:v>0</x:v>
      </x:c>
      <x:c r="J36" s="22">
        <x:f>J29*Assumptions!$F$12</x:f>
        <x:v>0</x:v>
      </x:c>
      <x:c r="K36" s="22">
        <x:f>K29*Assumptions!$F$12</x:f>
        <x:v>0</x:v>
      </x:c>
      <x:c r="L36" s="22">
        <x:f>L29*Assumptions!$F$12</x:f>
        <x:v>0</x:v>
      </x:c>
      <x:c r="M36" s="22">
        <x:f>M29*Assumptions!$F$12</x:f>
        <x:v>0</x:v>
      </x:c>
    </x:row>
    <x:row r="37">
      <x:c r="A37" s="23" t="inlineStr">
        <x:is>
          <x:t xml:space="preserve">Total cost</x:t>
        </x:is>
      </x:c>
      <x:c r="B37" s="24">
        <x:f>B33+B34+B35+B36</x:f>
        <x:v>231800</x:v>
      </x:c>
      <x:c r="C37" s="24">
        <x:f>C33+C34+C35+C36</x:f>
        <x:v>232371.68133322</x:v>
      </x:c>
      <x:c r="D37" s="24">
        <x:f>D33+D34+D35+D36</x:f>
        <x:v>232944.77258683142</x:v>
      </x:c>
      <x:c r="E37" s="24">
        <x:f>E33+E34+E35+E36</x:f>
        <x:v>233519.27723807847</x:v>
      </x:c>
      <x:c r="F37" s="24">
        <x:f>F33+F34+F35+F36</x:f>
        <x:v>234095.19877278095</x:v>
      </x:c>
      <x:c r="G37" s="24">
        <x:f>G33+G34+G35+G36</x:f>
        <x:v>234672.54068535566</x:v>
      </x:c>
      <x:c r="H37" s="24">
        <x:f>H33+H34+H35+H36</x:f>
        <x:v>235251.30647883762</x:v>
      </x:c>
      <x:c r="I37" s="24">
        <x:f>I33+I34+I35+I36</x:f>
        <x:v>235831.4996649013</x:v>
      </x:c>
      <x:c r="J37" s="24">
        <x:f>J33+J34+J35+J36</x:f>
        <x:v>236413.12376388191</x:v>
      </x:c>
      <x:c r="K37" s="24">
        <x:f>K33+K34+K35+K36</x:f>
        <x:v>236996.18230479665</x:v>
      </x:c>
      <x:c r="L37" s="24">
        <x:f>L33+L34+L35+L36</x:f>
        <x:v>237580.6788253663</x:v>
      </x:c>
      <x:c r="M37" s="24">
        <x:f>M33+M34+M35+M36</x:f>
        <x:v>238166.61687203668</x:v>
      </x:c>
    </x:row>
    <x:row r="38" ht="20" customHeight="1">
      <x:c r="A38" s="19" t="inlineStr">
        <x:is>
          <x:t xml:space="preserve">Sales</x:t>
        </x:is>
      </x:c>
      <x:c r="B38" s="20" t="n"/>
      <x:c r="C38" s="20" t="n"/>
      <x:c r="D38" s="20" t="n"/>
      <x:c r="E38" s="20" t="n"/>
      <x:c r="F38" s="20" t="n"/>
      <x:c r="G38" s="20" t="n"/>
      <x:c r="H38" s="20" t="n"/>
      <x:c r="I38" s="20" t="n"/>
      <x:c r="J38" s="20" t="n"/>
      <x:c r="K38" s="20" t="n"/>
      <x:c r="L38" s="20" t="n"/>
      <x:c r="M38" s="20" t="n"/>
    </x:row>
    <x:row r="39">
      <x:c r="A39" s="14" t="inlineStr">
        <x:is>
          <x:t xml:space="preserve">Beginning HC</x:t>
        </x:is>
      </x:c>
      <x:c r="B39" s="21">
        <x:f>Assumptions!$B$13</x:f>
        <x:v>60</x:v>
      </x:c>
      <x:c r="C39" s="21">
        <x:f>B42</x:f>
        <x:v>59</x:v>
      </x:c>
      <x:c r="D39" s="21">
        <x:f>C42</x:f>
        <x:v>58</x:v>
      </x:c>
      <x:c r="E39" s="21">
        <x:f>D42</x:f>
        <x:v>57</x:v>
      </x:c>
      <x:c r="F39" s="21">
        <x:f>E42</x:f>
        <x:v>56</x:v>
      </x:c>
      <x:c r="G39" s="21">
        <x:f>F42</x:f>
        <x:v>55</x:v>
      </x:c>
      <x:c r="H39" s="21">
        <x:f>G42</x:f>
        <x:v>54</x:v>
      </x:c>
      <x:c r="I39" s="21">
        <x:f>H42</x:f>
        <x:v>53</x:v>
      </x:c>
      <x:c r="J39" s="21">
        <x:f>I42</x:f>
        <x:v>52</x:v>
      </x:c>
      <x:c r="K39" s="21">
        <x:f>J42</x:f>
        <x:v>51</x:v>
      </x:c>
      <x:c r="L39" s="21">
        <x:f>K42</x:f>
        <x:v>50</x:v>
      </x:c>
      <x:c r="M39" s="21">
        <x:f>L42</x:f>
        <x:v>49</x:v>
      </x:c>
    </x:row>
    <x:row r="40">
      <x:c r="A40" s="15" t="inlineStr">
        <x:is>
          <x:t xml:space="preserve">Planned Hires (input)</x:t>
        </x:is>
      </x:c>
      <x:c r="B40" s="10">
        <x:f>'Hiring Plan'!B7</x:f>
        <x:v>0</x:v>
      </x:c>
      <x:c r="C40" s="10">
        <x:f>'Hiring Plan'!C7</x:f>
        <x:v>0</x:v>
      </x:c>
      <x:c r="D40" s="10">
        <x:f>'Hiring Plan'!D7</x:f>
        <x:v>0</x:v>
      </x:c>
      <x:c r="E40" s="10">
        <x:f>'Hiring Plan'!E7</x:f>
        <x:v>0</x:v>
      </x:c>
      <x:c r="F40" s="10">
        <x:f>'Hiring Plan'!F7</x:f>
        <x:v>0</x:v>
      </x:c>
      <x:c r="G40" s="10">
        <x:f>'Hiring Plan'!G7</x:f>
        <x:v>0</x:v>
      </x:c>
      <x:c r="H40" s="10">
        <x:f>'Hiring Plan'!H7</x:f>
        <x:v>0</x:v>
      </x:c>
      <x:c r="I40" s="10">
        <x:f>'Hiring Plan'!I7</x:f>
        <x:v>0</x:v>
      </x:c>
      <x:c r="J40" s="10">
        <x:f>'Hiring Plan'!J7</x:f>
        <x:v>0</x:v>
      </x:c>
      <x:c r="K40" s="10">
        <x:f>'Hiring Plan'!K7</x:f>
        <x:v>0</x:v>
      </x:c>
      <x:c r="L40" s="10">
        <x:f>'Hiring Plan'!L7</x:f>
        <x:v>0</x:v>
      </x:c>
      <x:c r="M40" s="10">
        <x:f>'Hiring Plan'!M7</x:f>
        <x:v>0</x:v>
      </x:c>
    </x:row>
    <x:row r="41">
      <x:c r="A41" s="14" t="inlineStr">
        <x:is>
          <x:t xml:space="preserve">Attrition (calc)</x:t>
        </x:is>
      </x:c>
      <x:c r="B41" s="21">
        <x:f>ROUND(B39*Assumptions!$C$13/12,0)</x:f>
        <x:v>1</x:v>
      </x:c>
      <x:c r="C41" s="21">
        <x:f>ROUND(C39*Assumptions!$C$13/12,0)</x:f>
        <x:v>1</x:v>
      </x:c>
      <x:c r="D41" s="21">
        <x:f>ROUND(D39*Assumptions!$C$13/12,0)</x:f>
        <x:v>1</x:v>
      </x:c>
      <x:c r="E41" s="21">
        <x:f>ROUND(E39*Assumptions!$C$13/12,0)</x:f>
        <x:v>1</x:v>
      </x:c>
      <x:c r="F41" s="21">
        <x:f>ROUND(F39*Assumptions!$C$13/12,0)</x:f>
        <x:v>1</x:v>
      </x:c>
      <x:c r="G41" s="21">
        <x:f>ROUND(G39*Assumptions!$C$13/12,0)</x:f>
        <x:v>1</x:v>
      </x:c>
      <x:c r="H41" s="21">
        <x:f>ROUND(H39*Assumptions!$C$13/12,0)</x:f>
        <x:v>1</x:v>
      </x:c>
      <x:c r="I41" s="21">
        <x:f>ROUND(I39*Assumptions!$C$13/12,0)</x:f>
        <x:v>1</x:v>
      </x:c>
      <x:c r="J41" s="21">
        <x:f>ROUND(J39*Assumptions!$C$13/12,0)</x:f>
        <x:v>1</x:v>
      </x:c>
      <x:c r="K41" s="21">
        <x:f>ROUND(K39*Assumptions!$C$13/12,0)</x:f>
        <x:v>1</x:v>
      </x:c>
      <x:c r="L41" s="21">
        <x:f>ROUND(L39*Assumptions!$C$13/12,0)</x:f>
        <x:v>1</x:v>
      </x:c>
      <x:c r="M41" s="21">
        <x:f>ROUND(M39*Assumptions!$C$13/12,0)</x:f>
        <x:v>1</x:v>
      </x:c>
    </x:row>
    <x:row r="42">
      <x:c r="A42" s="14" t="inlineStr">
        <x:is>
          <x:t xml:space="preserve">Ending HC</x:t>
        </x:is>
      </x:c>
      <x:c r="B42" s="21">
        <x:f>B39+B40-B41</x:f>
        <x:v>59</x:v>
      </x:c>
      <x:c r="C42" s="21">
        <x:f>C39+C40-C41</x:f>
        <x:v>58</x:v>
      </x:c>
      <x:c r="D42" s="21">
        <x:f>D39+D40-D41</x:f>
        <x:v>57</x:v>
      </x:c>
      <x:c r="E42" s="21">
        <x:f>E39+E40-E41</x:f>
        <x:v>56</x:v>
      </x:c>
      <x:c r="F42" s="21">
        <x:f>F39+F40-F41</x:f>
        <x:v>55</x:v>
      </x:c>
      <x:c r="G42" s="21">
        <x:f>G39+G40-G41</x:f>
        <x:v>54</x:v>
      </x:c>
      <x:c r="H42" s="21">
        <x:f>H39+H40-H41</x:f>
        <x:v>53</x:v>
      </x:c>
      <x:c r="I42" s="21">
        <x:f>I39+I40-I41</x:f>
        <x:v>52</x:v>
      </x:c>
      <x:c r="J42" s="21">
        <x:f>J39+J40-J41</x:f>
        <x:v>51</x:v>
      </x:c>
      <x:c r="K42" s="21">
        <x:f>K39+K40-K41</x:f>
        <x:v>50</x:v>
      </x:c>
      <x:c r="L42" s="21">
        <x:f>L39+L40-L41</x:f>
        <x:v>49</x:v>
      </x:c>
      <x:c r="M42" s="21">
        <x:f>M39+M40-M41</x:f>
        <x:v>48</x:v>
      </x:c>
    </x:row>
    <x:row r="43">
      <x:c r="A43" s="14" t="inlineStr">
        <x:is>
          <x:t xml:space="preserve">Avg HC</x:t>
        </x:is>
      </x:c>
      <x:c r="B43" s="21">
        <x:f>(B39+B42)/2</x:f>
        <x:v>59.5</x:v>
      </x:c>
      <x:c r="C43" s="21">
        <x:f>(C39+C42)/2</x:f>
        <x:v>58.5</x:v>
      </x:c>
      <x:c r="D43" s="21">
        <x:f>(D39+D42)/2</x:f>
        <x:v>57.5</x:v>
      </x:c>
      <x:c r="E43" s="21">
        <x:f>(E39+E42)/2</x:f>
        <x:v>56.5</x:v>
      </x:c>
      <x:c r="F43" s="21">
        <x:f>(F39+F42)/2</x:f>
        <x:v>55.5</x:v>
      </x:c>
      <x:c r="G43" s="21">
        <x:f>(G39+G42)/2</x:f>
        <x:v>54.5</x:v>
      </x:c>
      <x:c r="H43" s="21">
        <x:f>(H39+H42)/2</x:f>
        <x:v>53.5</x:v>
      </x:c>
      <x:c r="I43" s="21">
        <x:f>(I39+I42)/2</x:f>
        <x:v>52.5</x:v>
      </x:c>
      <x:c r="J43" s="21">
        <x:f>(J39+J42)/2</x:f>
        <x:v>51.5</x:v>
      </x:c>
      <x:c r="K43" s="21">
        <x:f>(K39+K42)/2</x:f>
        <x:v>50.5</x:v>
      </x:c>
      <x:c r="L43" s="21">
        <x:f>(L39+L42)/2</x:f>
        <x:v>49.5</x:v>
      </x:c>
      <x:c r="M43" s="21">
        <x:f>(M39+M42)/2</x:f>
        <x:v>48.5</x:v>
      </x:c>
    </x:row>
    <x:row r="44">
      <x:c r="A44" s="14" t="inlineStr">
        <x:is>
          <x:t xml:space="preserve">Salary cost</x:t>
        </x:is>
      </x:c>
      <x:c r="B44" s="22">
        <x:f>B43*(Assumptions!$D$13/12)*B$3</x:f>
        <x:v>619791.6666666666</x:v>
      </x:c>
      <x:c r="C44" s="22">
        <x:f>C43*(Assumptions!$D$13/12)*C$3</x:f>
        <x:v>610877.8831424975</x:v>
      </x:c>
      <x:c r="D44" s="22">
        <x:f>D43*(Assumptions!$D$13/12)*D$3</x:f>
        <x:v>601916.3621541022</x:v>
      </x:c>
      <x:c r="E44" s="22">
        <x:f>E43*(Assumptions!$D$13/12)*E$3</x:f>
        <x:v>592906.9224525199</x:v>
      </x:c>
      <x:c r="F44" s="22">
        <x:f>F43*(Assumptions!$D$13/12)*F$3</x:f>
        <x:v>583849.3821851336</x:v>
      </x:c>
      <x:c r="G44" s="22">
        <x:f>G43*(Assumptions!$D$13/12)*G$3</x:f>
        <x:v>574743.5588937968</x:v>
      </x:c>
      <x:c r="H44" s="22">
        <x:f>H43*(Assumptions!$D$13/12)*H$3</x:f>
        <x:v>565589.2695129517</x:v>
      </x:c>
      <x:c r="I44" s="22">
        <x:f>I43*(Assumptions!$D$13/12)*I$3</x:f>
        <x:v>556386.3303677434</x:v>
      </x:c>
      <x:c r="J44" s="22">
        <x:f>J43*(Assumptions!$D$13/12)*J$3</x:f>
        <x:v>547134.5571721274</x:v>
      </x:c>
      <x:c r="K44" s="22">
        <x:f>K43*(Assumptions!$D$13/12)*K$3</x:f>
        <x:v>537833.7650269732</x:v>
      </x:c>
      <x:c r="L44" s="22">
        <x:f>L43*(Assumptions!$D$13/12)*L$3</x:f>
        <x:v>528483.7684181599</x:v>
      </x:c>
      <x:c r="M44" s="22">
        <x:f>M43*(Assumptions!$D$13/12)*M$3</x:f>
        <x:v>519084.3812146687</x:v>
      </x:c>
    </x:row>
    <x:row r="45">
      <x:c r="A45" s="14" t="inlineStr">
        <x:is>
          <x:t xml:space="preserve">Variable pay cost</x:t>
        </x:is>
      </x:c>
      <x:c r="B45" s="22">
        <x:f>B44*Assumptions!$G$13</x:f>
        <x:v>154947.91666666666</x:v>
      </x:c>
      <x:c r="C45" s="22">
        <x:f>C44*Assumptions!$G$13</x:f>
        <x:v>152719.47078562438</x:v>
      </x:c>
      <x:c r="D45" s="22">
        <x:f>D44*Assumptions!$G$13</x:f>
        <x:v>150479.09053852555</x:v>
      </x:c>
      <x:c r="E45" s="22">
        <x:f>E44*Assumptions!$G$13</x:f>
        <x:v>148226.73061312997</x:v>
      </x:c>
      <x:c r="F45" s="22">
        <x:f>F44*Assumptions!$G$13</x:f>
        <x:v>145962.3455462834</x:v>
      </x:c>
      <x:c r="G45" s="22">
        <x:f>G44*Assumptions!$G$13</x:f>
        <x:v>143685.8897234492</x:v>
      </x:c>
      <x:c r="H45" s="22">
        <x:f>H44*Assumptions!$G$13</x:f>
        <x:v>141397.31737823793</x:v>
      </x:c>
      <x:c r="I45" s="22">
        <x:f>I44*Assumptions!$G$13</x:f>
        <x:v>139096.58259193585</x:v>
      </x:c>
      <x:c r="J45" s="22">
        <x:f>J44*Assumptions!$G$13</x:f>
        <x:v>136783.63929303185</x:v>
      </x:c>
      <x:c r="K45" s="22">
        <x:f>K44*Assumptions!$G$13</x:f>
        <x:v>134458.4412567433</x:v>
      </x:c>
      <x:c r="L45" s="22">
        <x:f>L44*Assumptions!$G$13</x:f>
        <x:v>132120.94210453998</x:v>
      </x:c>
      <x:c r="M45" s="22">
        <x:f>M44*Assumptions!$G$13</x:f>
        <x:v>129771.09530366717</x:v>
      </x:c>
    </x:row>
    <x:row r="46">
      <x:c r="A46" s="14" t="inlineStr">
        <x:is>
          <x:t xml:space="preserve">Benefits cost</x:t>
        </x:is>
      </x:c>
      <x:c r="B46" s="22">
        <x:f>B44*Assumptions!$E$13</x:f>
        <x:v>136354.16666666666</x:v>
      </x:c>
      <x:c r="C46" s="22">
        <x:f>C44*Assumptions!$E$13</x:f>
        <x:v>134393.13429134944</x:v>
      </x:c>
      <x:c r="D46" s="22">
        <x:f>D44*Assumptions!$E$13</x:f>
        <x:v>132421.59967390247</x:v>
      </x:c>
      <x:c r="E46" s="22">
        <x:f>E44*Assumptions!$E$13</x:f>
        <x:v>130439.52293955437</x:v>
      </x:c>
      <x:c r="F46" s="22">
        <x:f>F44*Assumptions!$E$13</x:f>
        <x:v>128446.8640807294</x:v>
      </x:c>
      <x:c r="G46" s="22">
        <x:f>G44*Assumptions!$E$13</x:f>
        <x:v>126443.58295663529</x:v>
      </x:c>
      <x:c r="H46" s="22">
        <x:f>H44*Assumptions!$E$13</x:f>
        <x:v>124429.63929284937</x:v>
      </x:c>
      <x:c r="I46" s="22">
        <x:f>I44*Assumptions!$E$13</x:f>
        <x:v>122404.99268090354</x:v>
      </x:c>
      <x:c r="J46" s="22">
        <x:f>J44*Assumptions!$E$13</x:f>
        <x:v>120369.60257786803</x:v>
      </x:c>
      <x:c r="K46" s="22">
        <x:f>K44*Assumptions!$E$13</x:f>
        <x:v>118323.42830593411</x:v>
      </x:c>
      <x:c r="L46" s="22">
        <x:f>L44*Assumptions!$E$13</x:f>
        <x:v>116266.42905199518</x:v>
      </x:c>
      <x:c r="M46" s="22">
        <x:f>M44*Assumptions!$E$13</x:f>
        <x:v>114198.56386722712</x:v>
      </x:c>
    </x:row>
    <x:row r="47">
      <x:c r="A47" s="14" t="inlineStr">
        <x:is>
          <x:t xml:space="preserve">Recruiting cost</x:t>
        </x:is>
      </x:c>
      <x:c r="B47" s="22">
        <x:f>B40*Assumptions!$F$13</x:f>
        <x:v>0</x:v>
      </x:c>
      <x:c r="C47" s="22">
        <x:f>C40*Assumptions!$F$13</x:f>
        <x:v>0</x:v>
      </x:c>
      <x:c r="D47" s="22">
        <x:f>D40*Assumptions!$F$13</x:f>
        <x:v>0</x:v>
      </x:c>
      <x:c r="E47" s="22">
        <x:f>E40*Assumptions!$F$13</x:f>
        <x:v>0</x:v>
      </x:c>
      <x:c r="F47" s="22">
        <x:f>F40*Assumptions!$F$13</x:f>
        <x:v>0</x:v>
      </x:c>
      <x:c r="G47" s="22">
        <x:f>G40*Assumptions!$F$13</x:f>
        <x:v>0</x:v>
      </x:c>
      <x:c r="H47" s="22">
        <x:f>H40*Assumptions!$F$13</x:f>
        <x:v>0</x:v>
      </x:c>
      <x:c r="I47" s="22">
        <x:f>I40*Assumptions!$F$13</x:f>
        <x:v>0</x:v>
      </x:c>
      <x:c r="J47" s="22">
        <x:f>J40*Assumptions!$F$13</x:f>
        <x:v>0</x:v>
      </x:c>
      <x:c r="K47" s="22">
        <x:f>K40*Assumptions!$F$13</x:f>
        <x:v>0</x:v>
      </x:c>
      <x:c r="L47" s="22">
        <x:f>L40*Assumptions!$F$13</x:f>
        <x:v>0</x:v>
      </x:c>
      <x:c r="M47" s="22">
        <x:f>M40*Assumptions!$F$13</x:f>
        <x:v>0</x:v>
      </x:c>
    </x:row>
    <x:row r="48">
      <x:c r="A48" s="23" t="inlineStr">
        <x:is>
          <x:t xml:space="preserve">Total cost</x:t>
        </x:is>
      </x:c>
      <x:c r="B48" s="24">
        <x:f>B44+B45+B46+B47</x:f>
        <x:v>911093.7499999999</x:v>
      </x:c>
      <x:c r="C48" s="24">
        <x:f>C44+C45+C46+C47</x:f>
        <x:v>897990.4882194713</x:v>
      </x:c>
      <x:c r="D48" s="24">
        <x:f>D44+D45+D46+D47</x:f>
        <x:v>884817.0523665302</x:v>
      </x:c>
      <x:c r="E48" s="24">
        <x:f>E44+E45+E46+E47</x:f>
        <x:v>871573.1760052042</x:v>
      </x:c>
      <x:c r="F48" s="24">
        <x:f>F44+F45+F46+F47</x:f>
        <x:v>858258.5918121465</x:v>
      </x:c>
      <x:c r="G48" s="24">
        <x:f>G44+G45+G46+G47</x:f>
        <x:v>844873.0315738813</x:v>
      </x:c>
      <x:c r="H48" s="24">
        <x:f>H44+H45+H46+H47</x:f>
        <x:v>831416.226184039</x:v>
      </x:c>
      <x:c r="I48" s="24">
        <x:f>I44+I45+I46+I47</x:f>
        <x:v>817887.9056405828</x:v>
      </x:c>
      <x:c r="J48" s="24">
        <x:f>J44+J45+J46+J47</x:f>
        <x:v>804287.7990430273</x:v>
      </x:c>
      <x:c r="K48" s="24">
        <x:f>K44+K45+K46+K47</x:f>
        <x:v>790615.6345896506</x:v>
      </x:c>
      <x:c r="L48" s="24">
        <x:f>L44+L45+L46+L47</x:f>
        <x:v>776871.139574695</x:v>
      </x:c>
      <x:c r="M48" s="24">
        <x:f>M44+M45+M46+M47</x:f>
        <x:v>763054.0403855629</x:v>
      </x:c>
    </x:row>
  </x:sheetData>
  <x:mergeCells>
    <x:mergeCell ref="A5:M5"/>
    <x:mergeCell ref="A27:M27"/>
    <x:mergeCell ref="A38:M38"/>
    <x:mergeCell ref="A16:M16"/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4" customWidth="1"/>
  </x:cols>
  <x:sheetData>
    <x:row r="1" ht="28" customHeight="1">
      <x:c r="A1" s="1" t="inlineStr">
        <x:is>
          <x:t xml:space="preserve">Summary Dashboard</x:t>
        </x:is>
      </x:c>
    </x:row>
    <x:row r="3">
      <x:c r="A3" s="9" t="inlineStr">
        <x:is>
          <x:t xml:space="preserve">Metric</x:t>
        </x:is>
      </x:c>
      <x:c r="B3" s="13">
        <x:f>Model!B2</x:f>
        <x:v>46023</x:v>
      </x:c>
      <x:c r="C3" s="13">
        <x:f>Model!C2</x:f>
        <x:v>46054</x:v>
      </x:c>
      <x:c r="D3" s="13">
        <x:f>Model!D2</x:f>
        <x:v>46082</x:v>
      </x:c>
      <x:c r="E3" s="13">
        <x:f>Model!E2</x:f>
        <x:v>46113</x:v>
      </x:c>
      <x:c r="F3" s="13">
        <x:f>Model!F2</x:f>
        <x:v>46143</x:v>
      </x:c>
      <x:c r="G3" s="13">
        <x:f>Model!G2</x:f>
        <x:v>46174</x:v>
      </x:c>
      <x:c r="H3" s="13">
        <x:f>Model!H2</x:f>
        <x:v>46204</x:v>
      </x:c>
      <x:c r="I3" s="13">
        <x:f>Model!I2</x:f>
        <x:v>46235</x:v>
      </x:c>
      <x:c r="J3" s="13">
        <x:f>Model!J2</x:f>
        <x:v>46266</x:v>
      </x:c>
      <x:c r="K3" s="13">
        <x:f>Model!K2</x:f>
        <x:v>46296</x:v>
      </x:c>
      <x:c r="L3" s="13">
        <x:f>Model!L2</x:f>
        <x:v>46327</x:v>
      </x:c>
      <x:c r="M3" s="13">
        <x:f>Model!M2</x:f>
        <x:v>46357</x:v>
      </x:c>
      <x:c r="N3" s="9" t="inlineStr">
        <x:is>
          <x:t xml:space="preserve">FY Total</x:t>
        </x:is>
      </x:c>
    </x:row>
    <x:row r="4">
      <x:c r="A4" s="14" t="inlineStr">
        <x:is>
          <x:t xml:space="preserve">Total ending headcount</x:t>
        </x:is>
      </x:c>
      <x:c r="B4" s="21">
        <x:f>SUM(Model!B9,Model!B20,Model!B31,Model!B42)</x:f>
        <x:v>225</x:v>
      </x:c>
      <x:c r="C4" s="21">
        <x:f>SUM(Model!C9,Model!C20,Model!C31,Model!C42)</x:f>
        <x:v>223</x:v>
      </x:c>
      <x:c r="D4" s="21">
        <x:f>SUM(Model!D9,Model!D20,Model!D31,Model!D42)</x:f>
        <x:v>221</x:v>
      </x:c>
      <x:c r="E4" s="21">
        <x:f>SUM(Model!E9,Model!E20,Model!E31,Model!E42)</x:f>
        <x:v>219</x:v>
      </x:c>
      <x:c r="F4" s="21">
        <x:f>SUM(Model!F9,Model!F20,Model!F31,Model!F42)</x:f>
        <x:v>217</x:v>
      </x:c>
      <x:c r="G4" s="21">
        <x:f>SUM(Model!G9,Model!G20,Model!G31,Model!G42)</x:f>
        <x:v>215</x:v>
      </x:c>
      <x:c r="H4" s="21">
        <x:f>SUM(Model!H9,Model!H20,Model!H31,Model!H42)</x:f>
        <x:v>213</x:v>
      </x:c>
      <x:c r="I4" s="21">
        <x:f>SUM(Model!I9,Model!I20,Model!I31,Model!I42)</x:f>
        <x:v>211</x:v>
      </x:c>
      <x:c r="J4" s="21">
        <x:f>SUM(Model!J9,Model!J20,Model!J31,Model!J42)</x:f>
        <x:v>209</x:v>
      </x:c>
      <x:c r="K4" s="21">
        <x:f>SUM(Model!K9,Model!K20,Model!K31,Model!K42)</x:f>
        <x:v>207</x:v>
      </x:c>
      <x:c r="L4" s="21">
        <x:f>SUM(Model!L9,Model!L20,Model!L31,Model!L42)</x:f>
        <x:v>205</x:v>
      </x:c>
      <x:c r="M4" s="21">
        <x:f>SUM(Model!M9,Model!M20,Model!M31,Model!M42)</x:f>
        <x:v>203</x:v>
      </x:c>
      <x:c r="N4" s="25">
        <x:f>M4</x:f>
        <x:v>203</x:v>
      </x:c>
    </x:row>
    <x:row r="5">
      <x:c r="A5" s="14" t="inlineStr">
        <x:is>
          <x:t xml:space="preserve">Total hires</x:t>
        </x:is>
      </x:c>
      <x:c r="B5" s="21">
        <x:f>SUM(Model!B7,Model!B18,Model!B29,Model!B40)</x:f>
        <x:v>0</x:v>
      </x:c>
      <x:c r="C5" s="21">
        <x:f>SUM(Model!C7,Model!C18,Model!C29,Model!C40)</x:f>
        <x:v>0</x:v>
      </x:c>
      <x:c r="D5" s="21">
        <x:f>SUM(Model!D7,Model!D18,Model!D29,Model!D40)</x:f>
        <x:v>0</x:v>
      </x:c>
      <x:c r="E5" s="21">
        <x:f>SUM(Model!E7,Model!E18,Model!E29,Model!E40)</x:f>
        <x:v>0</x:v>
      </x:c>
      <x:c r="F5" s="21">
        <x:f>SUM(Model!F7,Model!F18,Model!F29,Model!F40)</x:f>
        <x:v>0</x:v>
      </x:c>
      <x:c r="G5" s="21">
        <x:f>SUM(Model!G7,Model!G18,Model!G29,Model!G40)</x:f>
        <x:v>0</x:v>
      </x:c>
      <x:c r="H5" s="21">
        <x:f>SUM(Model!H7,Model!H18,Model!H29,Model!H40)</x:f>
        <x:v>0</x:v>
      </x:c>
      <x:c r="I5" s="21">
        <x:f>SUM(Model!I7,Model!I18,Model!I29,Model!I40)</x:f>
        <x:v>0</x:v>
      </x:c>
      <x:c r="J5" s="21">
        <x:f>SUM(Model!J7,Model!J18,Model!J29,Model!J40)</x:f>
        <x:v>0</x:v>
      </x:c>
      <x:c r="K5" s="21">
        <x:f>SUM(Model!K7,Model!K18,Model!K29,Model!K40)</x:f>
        <x:v>0</x:v>
      </x:c>
      <x:c r="L5" s="21">
        <x:f>SUM(Model!L7,Model!L18,Model!L29,Model!L40)</x:f>
        <x:v>0</x:v>
      </x:c>
      <x:c r="M5" s="21">
        <x:f>SUM(Model!M7,Model!M18,Model!M29,Model!M40)</x:f>
        <x:v>0</x:v>
      </x:c>
      <x:c r="N5" s="25">
        <x:f>SUM(B5:M5)</x:f>
        <x:v>0</x:v>
      </x:c>
    </x:row>
    <x:row r="6">
      <x:c r="A6" s="14" t="inlineStr">
        <x:is>
          <x:t xml:space="preserve">Total attrition</x:t>
        </x:is>
      </x:c>
      <x:c r="B6" s="21">
        <x:f>SUM(Model!B8,Model!B19,Model!B30,Model!B41)</x:f>
        <x:v>2</x:v>
      </x:c>
      <x:c r="C6" s="21">
        <x:f>SUM(Model!C8,Model!C19,Model!C30,Model!C41)</x:f>
        <x:v>2</x:v>
      </x:c>
      <x:c r="D6" s="21">
        <x:f>SUM(Model!D8,Model!D19,Model!D30,Model!D41)</x:f>
        <x:v>2</x:v>
      </x:c>
      <x:c r="E6" s="21">
        <x:f>SUM(Model!E8,Model!E19,Model!E30,Model!E41)</x:f>
        <x:v>2</x:v>
      </x:c>
      <x:c r="F6" s="21">
        <x:f>SUM(Model!F8,Model!F19,Model!F30,Model!F41)</x:f>
        <x:v>2</x:v>
      </x:c>
      <x:c r="G6" s="21">
        <x:f>SUM(Model!G8,Model!G19,Model!G30,Model!G41)</x:f>
        <x:v>2</x:v>
      </x:c>
      <x:c r="H6" s="21">
        <x:f>SUM(Model!H8,Model!H19,Model!H30,Model!H41)</x:f>
        <x:v>2</x:v>
      </x:c>
      <x:c r="I6" s="21">
        <x:f>SUM(Model!I8,Model!I19,Model!I30,Model!I41)</x:f>
        <x:v>2</x:v>
      </x:c>
      <x:c r="J6" s="21">
        <x:f>SUM(Model!J8,Model!J19,Model!J30,Model!J41)</x:f>
        <x:v>2</x:v>
      </x:c>
      <x:c r="K6" s="21">
        <x:f>SUM(Model!K8,Model!K19,Model!K30,Model!K41)</x:f>
        <x:v>2</x:v>
      </x:c>
      <x:c r="L6" s="21">
        <x:f>SUM(Model!L8,Model!L19,Model!L30,Model!L41)</x:f>
        <x:v>2</x:v>
      </x:c>
      <x:c r="M6" s="21">
        <x:f>SUM(Model!M8,Model!M19,Model!M30,Model!M41)</x:f>
        <x:v>2</x:v>
      </x:c>
      <x:c r="N6" s="25">
        <x:f>SUM(B6:M6)</x:f>
        <x:v>24</x:v>
      </x:c>
    </x:row>
    <x:row r="7">
      <x:c r="A7" s="14" t="inlineStr">
        <x:is>
          <x:t xml:space="preserve">Total personnel cost</x:t>
        </x:is>
      </x:c>
      <x:c r="B7" s="22">
        <x:f>SUM(Model!B15,Model!B26,Model!B37,Model!B48)</x:f>
        <x:v>3551643.75</x:v>
      </x:c>
      <x:c r="C7" s="22">
        <x:f>SUM(Model!C15,Model!C26,Model!C37,Model!C48)</x:f>
        <x:v>3528345.025703856</x:v>
      </x:c>
      <x:c r="D7" s="22">
        <x:f>SUM(Model!D15,Model!D26,Model!D37,Model!D48)</x:f>
        <x:v>3504909.776703301</x:v>
      </x:c>
      <x:c r="E7" s="22">
        <x:f>SUM(Model!E15,Model!E26,Model!E37,Model!E48)</x:f>
        <x:v>3481337.4712990103</x:v>
      </x:c>
      <x:c r="F7" s="22">
        <x:f>SUM(Model!F15,Model!F26,Model!F37,Model!F48)</x:f>
        <x:v>3457627.5759994397</x:v>
      </x:c>
      <x:c r="G7" s="22">
        <x:f>SUM(Model!G15,Model!G26,Model!G37,Model!G48)</x:f>
        <x:v>3433779.555515223</x:v>
      </x:c>
      <x:c r="H7" s="22">
        <x:f>SUM(Model!H15,Model!H26,Model!H37,Model!H48)</x:f>
        <x:v>3409792.8727535433</x:v>
      </x:c>
      <x:c r="I7" s="22">
        <x:f>SUM(Model!I15,Model!I26,Model!I37,Model!I48)</x:f>
        <x:v>3385666.9888124983</x:v>
      </x:c>
      <x:c r="J7" s="22">
        <x:f>SUM(Model!J15,Model!J26,Model!J37,Model!J48)</x:f>
        <x:v>3361401.3629754437</x:v>
      </x:c>
      <x:c r="K7" s="22">
        <x:f>SUM(Model!K15,Model!K26,Model!K37,Model!K48)</x:f>
        <x:v>3336995.4527053162</x:v>
      </x:c>
      <x:c r="L7" s="22">
        <x:f>SUM(Model!L15,Model!L26,Model!L37,Model!L48)</x:f>
        <x:v>3312448.7136389455</x:v>
      </x:c>
      <x:c r="M7" s="22">
        <x:f>SUM(Model!M15,Model!M26,Model!M37,Model!M48)</x:f>
        <x:v>3287760.5995813487</x:v>
      </x:c>
      <x:c r="N7" s="26">
        <x:f>SUM(B7:M7)</x:f>
        <x:v>41051709.14568792</x:v>
      </x:c>
    </x:row>
    <x:row r="8">
      <x:c r="A8" s="14" t="inlineStr">
        <x:is>
          <x:t xml:space="preserve">Salary cost</x:t>
        </x:is>
      </x:c>
      <x:c r="B8" s="22">
        <x:f>SUM(Model!B11,Model!B22,Model!B33,Model!B44)</x:f>
        <x:v>2723958.3333333335</x:v>
      </x:c>
      <x:c r="C8" s="22">
        <x:f>SUM(Model!C11,Model!C22,Model!C33,Model!C44)</x:f>
        <x:v>2706867.775524756</x:v>
      </x:c>
      <x:c r="D8" s="22">
        <x:f>SUM(Model!D11,Model!D22,Model!D33,Model!D44)</x:f>
        <x:v>2689676.3494239138</x:v>
      </x:c>
      <x:c r="E8" s="22">
        <x:f>SUM(Model!E11,Model!E22,Model!E33,Model!E44)</x:f>
        <x:v>2672383.661447057</x:v>
      </x:c>
      <x:c r="F8" s="22">
        <x:f>SUM(Model!F11,Model!F22,Model!F33,Model!F44)</x:f>
        <x:v>2654989.316682595</x:v>
      </x:c>
      <x:c r="G8" s="22">
        <x:f>SUM(Model!G11,Model!G22,Model!G33,Model!G44)</x:f>
        <x:v>2637492.9188869465</x:v>
      </x:c>
      <x:c r="H8" s="22">
        <x:f>SUM(Model!H11,Model!H22,Model!H33,Model!H44)</x:f>
        <x:v>2619894.0704803686</x:v>
      </x:c>
      <x:c r="I8" s="22">
        <x:f>SUM(Model!I11,Model!I22,Model!I33,Model!I44)</x:f>
        <x:v>2602192.3725427752</x:v>
      </x:c>
      <x:c r="J8" s="22">
        <x:f>SUM(Model!J11,Model!J22,Model!J33,Model!J44)</x:f>
        <x:v>2584387.424809548</x:v>
      </x:c>
      <x:c r="K8" s="22">
        <x:f>SUM(Model!K11,Model!K22,Model!K33,Model!K44)</x:f>
        <x:v>2566478.8256673273</x:v>
      </x:c>
      <x:c r="L8" s="22">
        <x:f>SUM(Model!L11,Model!L22,Model!L33,Model!L44)</x:f>
        <x:v>2548466.1721497937</x:v>
      </x:c>
      <x:c r="M8" s="22">
        <x:f>SUM(Model!M11,Model!M22,Model!M33,Model!M44)</x:f>
        <x:v>2530349.0599334426</x:v>
      </x:c>
      <x:c r="N8" s="26">
        <x:f>SUM(B8:M8)</x:f>
        <x:v>31537136.280881856</x:v>
      </x:c>
    </x:row>
    <x:row r="9">
      <x:c r="A9" s="14" t="inlineStr">
        <x:is>
          <x:t xml:space="preserve">Variable pay cost</x:t>
        </x:is>
      </x:c>
      <x:c r="B9" s="22">
        <x:f>SUM(Model!B12,Model!B23,Model!B34,Model!B45)</x:f>
        <x:v>170989.5833333333</x:v>
      </x:c>
      <x:c r="C9" s="22">
        <x:f>SUM(Model!C12,Model!C23,Model!C34,Model!C45)</x:f>
        <x:v>168800.70052988842</x:v>
      </x:c>
      <x:c r="D9" s="22">
        <x:f>SUM(Model!D12,Model!D23,Model!D34,Model!D45)</x:f>
        <x:v>166599.98093360933</x:v>
      </x:c>
      <x:c r="E9" s="22">
        <x:f>SUM(Model!E12,Model!E23,Model!E34,Model!E45)</x:f>
        <x:v>164387.37947289777</x:v>
      </x:c>
      <x:c r="F9" s="22">
        <x:f>SUM(Model!F12,Model!F23,Model!F34,Model!F45)</x:f>
        <x:v>162162.85092583485</x:v>
      </x:c>
      <x:c r="G9" s="22">
        <x:f>SUM(Model!G12,Model!G23,Model!G34,Model!G45)</x:f>
        <x:v>159926.34991971427</x:v>
      </x:c>
      <x:c r="H9" s="22">
        <x:f>SUM(Model!H12,Model!H23,Model!H34,Model!H45)</x:f>
        <x:v>157677.83093057337</x:v>
      </x:c>
      <x:c r="I9" s="22">
        <x:f>SUM(Model!I12,Model!I23,Model!I34,Model!I45)</x:f>
        <x:v>155417.24828272298</x:v>
      </x:c>
      <x:c r="J9" s="22">
        <x:f>SUM(Model!J12,Model!J23,Model!J34,Model!J45)</x:f>
        <x:v>153144.55614827605</x:v>
      </x:c>
      <x:c r="K9" s="22">
        <x:f>SUM(Model!K12,Model!K23,Model!K34,Model!K45)</x:f>
        <x:v>150859.70854667475</x:v>
      </x:c>
      <x:c r="L9" s="22">
        <x:f>SUM(Model!L12,Model!L23,Model!L34,Model!L45)</x:f>
        <x:v>148562.65934421608</x:v>
      </x:c>
      <x:c r="M9" s="22">
        <x:f>SUM(Model!M12,Model!M23,Model!M34,Model!M45)</x:f>
        <x:v>146253.36225357623</x:v>
      </x:c>
      <x:c r="N9" s="26">
        <x:f>SUM(B9:M9)</x:f>
        <x:v>1904782.2106213176</x:v>
      </x:c>
    </x:row>
    <x:row r="10">
      <x:c r="A10" s="14" t="inlineStr">
        <x:is>
          <x:t xml:space="preserve">Benefits cost</x:t>
        </x:is>
      </x:c>
      <x:c r="B10" s="22">
        <x:f>SUM(Model!B13,Model!B24,Model!B35,Model!B46)</x:f>
        <x:v>656695.8333333334</x:v>
      </x:c>
      <x:c r="C10" s="22">
        <x:f>SUM(Model!C13,Model!C24,Model!C35,Model!C46)</x:f>
        <x:v>652676.5496492118</x:v>
      </x:c>
      <x:c r="D10" s="22">
        <x:f>SUM(Model!D13,Model!D24,Model!D35,Model!D46)</x:f>
        <x:v>648633.4463457775</x:v>
      </x:c>
      <x:c r="E10" s="22">
        <x:f>SUM(Model!E13,Model!E24,Model!E35,Model!E46)</x:f>
        <x:v>644566.4303790556</x:v>
      </x:c>
      <x:c r="F10" s="22">
        <x:f>SUM(Model!F13,Model!F24,Model!F35,Model!F46)</x:f>
        <x:v>640475.40839101</x:v>
      </x:c>
      <x:c r="G10" s="22">
        <x:f>SUM(Model!G13,Model!G24,Model!G35,Model!G46)</x:f>
        <x:v>636360.2867085616</x:v>
      </x:c>
      <x:c r="H10" s="22">
        <x:f>SUM(Model!H13,Model!H24,Model!H35,Model!H46)</x:f>
        <x:v>632220.971342601</x:v>
      </x:c>
      <x:c r="I10" s="22">
        <x:f>SUM(Model!I13,Model!I24,Model!I35,Model!I46)</x:f>
        <x:v>628057.367987</x:v>
      </x:c>
      <x:c r="J10" s="22">
        <x:f>SUM(Model!J13,Model!J24,Model!J35,Model!J46)</x:f>
        <x:v>623869.3820176196</x:v>
      </x:c>
      <x:c r="K10" s="22">
        <x:f>SUM(Model!K13,Model!K24,Model!K35,Model!K46)</x:f>
        <x:v>619656.9184913145</x:v>
      </x:c>
      <x:c r="L10" s="22">
        <x:f>SUM(Model!L13,Model!L24,Model!L35,Model!L46)</x:f>
        <x:v>615419.8821449357</x:v>
      </x:c>
      <x:c r="M10" s="22">
        <x:f>SUM(Model!M13,Model!M24,Model!M35,Model!M46)</x:f>
        <x:v>611158.1773943296</x:v>
      </x:c>
      <x:c r="N10" s="26">
        <x:f>SUM(B10:M10)</x:f>
        <x:v>7609790.654184748</x:v>
      </x:c>
    </x:row>
    <x:row r="11">
      <x:c r="A11" s="14" t="inlineStr">
        <x:is>
          <x:t xml:space="preserve">Recruiting cost</x:t>
        </x:is>
      </x:c>
      <x:c r="B11" s="22">
        <x:f>SUM(Model!B14,Model!B25,Model!B36,Model!B47)</x:f>
        <x:v>0</x:v>
      </x:c>
      <x:c r="C11" s="22">
        <x:f>SUM(Model!C14,Model!C25,Model!C36,Model!C47)</x:f>
        <x:v>0</x:v>
      </x:c>
      <x:c r="D11" s="22">
        <x:f>SUM(Model!D14,Model!D25,Model!D36,Model!D47)</x:f>
        <x:v>0</x:v>
      </x:c>
      <x:c r="E11" s="22">
        <x:f>SUM(Model!E14,Model!E25,Model!E36,Model!E47)</x:f>
        <x:v>0</x:v>
      </x:c>
      <x:c r="F11" s="22">
        <x:f>SUM(Model!F14,Model!F25,Model!F36,Model!F47)</x:f>
        <x:v>0</x:v>
      </x:c>
      <x:c r="G11" s="22">
        <x:f>SUM(Model!G14,Model!G25,Model!G36,Model!G47)</x:f>
        <x:v>0</x:v>
      </x:c>
      <x:c r="H11" s="22">
        <x:f>SUM(Model!H14,Model!H25,Model!H36,Model!H47)</x:f>
        <x:v>0</x:v>
      </x:c>
      <x:c r="I11" s="22">
        <x:f>SUM(Model!I14,Model!I25,Model!I36,Model!I47)</x:f>
        <x:v>0</x:v>
      </x:c>
      <x:c r="J11" s="22">
        <x:f>SUM(Model!J14,Model!J25,Model!J36,Model!J47)</x:f>
        <x:v>0</x:v>
      </x:c>
      <x:c r="K11" s="22">
        <x:f>SUM(Model!K14,Model!K25,Model!K36,Model!K47)</x:f>
        <x:v>0</x:v>
      </x:c>
      <x:c r="L11" s="22">
        <x:f>SUM(Model!L14,Model!L25,Model!L36,Model!L47)</x:f>
        <x:v>0</x:v>
      </x:c>
      <x:c r="M11" s="22">
        <x:f>SUM(Model!M14,Model!M25,Model!M36,Model!M47)</x:f>
        <x:v>0</x:v>
      </x:c>
      <x:c r="N11" s="26">
        <x:f>SUM(B11:M11)</x:f>
        <x:v>0</x:v>
      </x:c>
    </x:row>
    <x:row r="12">
      <x:c r="A12" s="27" t="inlineStr">
        <x:is>
          <x:t xml:space="preserve">Key KPIs</x:t>
        </x:is>
      </x:c>
    </x:row>
    <x:row r="13">
      <x:c r="A13" s="28" t="inlineStr">
        <x:is>
          <x:t xml:space="preserve">Starting HC</x:t>
        </x:is>
      </x:c>
      <x:c r="B13" s="29" t="n"/>
      <x:c r="C13" s="29" t="n"/>
      <x:c r="D13" s="28" t="inlineStr">
        <x:is>
          <x:t xml:space="preserve">Ending HC (Dec)</x:t>
        </x:is>
      </x:c>
      <x:c r="E13" s="29" t="n"/>
      <x:c r="F13" s="29" t="n"/>
      <x:c r="G13" s="28" t="inlineStr">
        <x:is>
          <x:t xml:space="preserve">Net Adds</x:t>
        </x:is>
      </x:c>
      <x:c r="H13" s="29" t="n"/>
      <x:c r="I13" s="29" t="n"/>
      <x:c r="J13" s="28" t="inlineStr">
        <x:is>
          <x:t xml:space="preserve">Total Cost (FY)</x:t>
        </x:is>
      </x:c>
      <x:c r="K13" s="29" t="n"/>
      <x:c r="L13" s="29" t="n"/>
    </x:row>
    <x:row r="14">
      <x:c r="A14" s="30">
        <x:f>SUM(Assumptions!B10:B13)</x:f>
        <x:v>227</x:v>
      </x:c>
      <x:c r="B14" s="29" t="n"/>
      <x:c r="C14" s="29" t="n"/>
      <x:c r="D14" s="30">
        <x:f>M4</x:f>
        <x:v>203</x:v>
      </x:c>
      <x:c r="E14" s="29" t="n"/>
      <x:c r="F14" s="29" t="n"/>
      <x:c r="G14" s="30">
        <x:f>M4-SUM(Assumptions!B10:B13)</x:f>
        <x:v>-24</x:v>
      </x:c>
      <x:c r="H14" s="29" t="n"/>
      <x:c r="I14" s="29" t="n"/>
      <x:c r="J14" s="31">
        <x:f>N7</x:f>
        <x:v>41051709.14568792</x:v>
      </x:c>
      <x:c r="K14" s="29" t="n"/>
      <x:c r="L14" s="29" t="n"/>
    </x:row>
  </x:sheetData>
  <x:mergeCells>
    <x:mergeCell ref="D13:F13"/>
    <x:mergeCell ref="A13:C13"/>
    <x:mergeCell ref="D14:F14"/>
    <x:mergeCell ref="G14:I14"/>
    <x:mergeCell ref="J14:L14"/>
    <x:mergeCell ref="G13:I13"/>
    <x:mergeCell ref="J13:L13"/>
    <x:mergeCell ref="A14:C14"/>
    <x:mergeCell ref="A1:N1"/>
  </x:mergeCells>
  <x:pageMargins left="0.7" right="0.7" top="0.75" bottom="0.75" header="0.3" footer="0.3"/>
  <x:drawing xmlns:r="http://schemas.openxmlformats.org/officeDocument/2006/relationships" r:id="R5e50895f77ab466c"/>
</x:worksheet>
</file>