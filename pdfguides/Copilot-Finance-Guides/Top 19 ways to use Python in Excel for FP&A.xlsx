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Desktop\"/>
    </mc:Choice>
  </mc:AlternateContent>
  <xr:revisionPtr revIDLastSave="0" documentId="13_ncr:1_{7267B483-64DC-4E27-AA52-3CF5FFDC1188}" xr6:coauthVersionLast="47" xr6:coauthVersionMax="47" xr10:uidLastSave="{00000000-0000-0000-0000-000000000000}"/>
  <bookViews>
    <workbookView xWindow="-23148" yWindow="-84" windowWidth="23256" windowHeight="12456" activeTab="1" xr2:uid="{53D9DF23-D62B-4AEE-B742-E8A54D4BCB55}"/>
  </bookViews>
  <sheets>
    <sheet name="Data Preparation &amp; Cleaning" sheetId="1" r:id="rId1"/>
    <sheet name="Descriptive Analytics &amp; Diagn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 a="1"/>
  <c r="B2" i="1" s="1"/>
  <c r="E4" i="1" s="1" a="1"/>
  <c r="E4" i="1" s="1"/>
  <c r="E11" i="1" s="1" a="1"/>
  <c r="E11" i="1" s="1"/>
  <c r="K3" i="2" l="1" a="1"/>
  <c r="K3" i="2" s="1"/>
  <c r="X4" i="2" l="1" a="1"/>
  <c r="X4" i="2" s="1"/>
  <c r="K5" i="2" s="1" a="1"/>
  <c r="K5" i="2" s="1"/>
  <c r="X6" i="2" s="1" a="1"/>
  <c r="X6" i="2" s="1"/>
  <c r="K16" i="2" l="1" a="1"/>
  <c r="K16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3">
    <bk>
      <extLst>
        <ext uri="{3e2802c4-a4d2-4d8b-9148-e3be6c30e623}">
          <xlrd:rvb i="3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9"/>
        </ext>
      </extLst>
    </bk>
  </futureMetadata>
  <cellMetadata count="1">
    <bk>
      <rc t="1" v="0"/>
    </bk>
  </cellMetadata>
  <valueMetadata count="3">
    <bk>
      <rc t="2" v="0"/>
    </bk>
    <bk>
      <rc t="2" v="1"/>
    </bk>
    <bk>
      <rc t="2" v="2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df = xl(%P2%, headers=True)</code>
    </pythonScript>
    <pythonScript>
      <code>df.fillna(df.median(numeric_only=True))</code>
    </pythonScript>
    <pythonScript>
      <code>df = df[df['Revenue_Amount'] &lt; df['Revenue_Amount'].quantile(0.95)]
df</code>
    </pythonScript>
    <pythonScript>
      <code>df_forecast = xl(%P2%, headers=True)</code>
    </pythonScript>
    <pythonScript>
      <code>budget_analysis = xl(%P2%, headers=True)</code>
    </pythonScript>
    <pythonScript>
      <code>df_forecast.describe()</code>
    </pythonScript>
    <pythonScript>
      <code>budget_analysis['Variance'] = budget_analysis['Actual'] - budget_analysis['Budget']
budget_analysis</code>
    </pythonScript>
    <pythonScript>
      <code>df_forecast.corr(numeric_only=True)</code>
    </pythonScript>
  </pythonScripts>
</python>
</file>

<file path=xl/sharedStrings.xml><?xml version="1.0" encoding="utf-8"?>
<sst xmlns="http://schemas.openxmlformats.org/spreadsheetml/2006/main" count="120" uniqueCount="22">
  <si>
    <t>Region</t>
  </si>
  <si>
    <t>Revenue_Amount</t>
  </si>
  <si>
    <t>North America</t>
  </si>
  <si>
    <t>3%</t>
  </si>
  <si>
    <t>4%</t>
  </si>
  <si>
    <t>2%</t>
  </si>
  <si>
    <t>5%</t>
  </si>
  <si>
    <t>6%</t>
  </si>
  <si>
    <t>1%</t>
  </si>
  <si>
    <t>Scenario #</t>
  </si>
  <si>
    <t>Forecast Year</t>
  </si>
  <si>
    <t>Revenue Assumption</t>
  </si>
  <si>
    <t>Cost Assumption</t>
  </si>
  <si>
    <t>Market GrowthRate</t>
  </si>
  <si>
    <t>Probability Weight</t>
  </si>
  <si>
    <t>Net Profit Forecast</t>
  </si>
  <si>
    <t>Variable Correlations</t>
  </si>
  <si>
    <t>Category</t>
  </si>
  <si>
    <t>Actual</t>
  </si>
  <si>
    <t>Budget</t>
  </si>
  <si>
    <t>Revenue</t>
  </si>
  <si>
    <t>COGS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</si>
</sst>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1" xfId="0" applyFont="1" applyBorder="1" applyAlignment="1">
      <alignment horizontal="center" vertical="top" wrapText="1"/>
    </xf>
    <xf numFmtId="0" fontId="1" fillId="2" borderId="0" xfId="0" applyFont="1" applyFill="1" applyAlignment="1">
      <alignment horizontal="center" vertical="center" wrapText="1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Continuous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microsoft.com/office/2017/06/relationships/rdRichValueTypes" Target="richData/rdRichValueTypes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12" Type="http://schemas.microsoft.com/office/2017/06/relationships/rdSupportingPropertyBag" Target="richData/rdsupporting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06/relationships/rdSupportingPropertyBagStructure" Target="richData/rdsupportingpropertybagstructure.xml"/><Relationship Id="rId5" Type="http://schemas.openxmlformats.org/officeDocument/2006/relationships/sharedStrings" Target="sharedStrings.xml"/><Relationship Id="rId15" Type="http://schemas.microsoft.com/office/2023/09/relationships/Python" Target="python.xml"/><Relationship Id="rId10" Type="http://schemas.microsoft.com/office/2017/06/relationships/richStyles" Target="richData/richStyles.xml"/><Relationship Id="rId4" Type="http://schemas.openxmlformats.org/officeDocument/2006/relationships/styles" Target="styles.xml"/><Relationship Id="rId9" Type="http://schemas.microsoft.com/office/2017/06/relationships/rdArray" Target="richData/rdarray.xml"/><Relationship Id="rId14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3">
  <a r="6" c="3">
    <v t="s"/>
    <v t="s">Region</v>
    <v t="s">Revenue_Amount</v>
    <v>0</v>
    <v t="s">North America</v>
    <v>15000</v>
    <v>1</v>
    <v t="s">North America</v>
    <v t="r">0</v>
    <v>2</v>
    <v t="s">North America</v>
    <v>14000</v>
    <v>3</v>
    <v t="s">North America</v>
    <v>18000</v>
    <v>4</v>
    <v t="s">North America</v>
    <v>17500</v>
  </a>
  <a r="12" c="8">
    <v t="s"/>
    <v t="s">Scenario #</v>
    <v t="s">Forecast Year</v>
    <v t="s">Revenue Assumption</v>
    <v t="s">Cost Assumption</v>
    <v t="s">Market GrowthRate</v>
    <v t="s">Probability Weight</v>
    <v t="s">Net Profit Forecast</v>
    <v>0</v>
    <v>1</v>
    <v>2025</v>
    <v>1000000</v>
    <v>700000</v>
    <v t="s">3%</v>
    <v>0.02</v>
    <v>300000</v>
    <v>1</v>
    <v>2</v>
    <v>2025</v>
    <v>1200000</v>
    <v>850000</v>
    <v t="s">4%</v>
    <v>0.05</v>
    <v>350000</v>
    <v>2</v>
    <v>3</v>
    <v>2025</v>
    <v>800000</v>
    <v>500000</v>
    <v t="s">2%</v>
    <v>7.0000000000000007E-2</v>
    <v>300000</v>
    <v>3</v>
    <v>4</v>
    <v>2025</v>
    <v>1400000</v>
    <v>900000</v>
    <v t="s">5%</v>
    <v>0.03</v>
    <v>500000</v>
    <v>4</v>
    <v>5</v>
    <v>2025</v>
    <v>950000</v>
    <v>600000</v>
    <v t="s">2%</v>
    <v>0.06</v>
    <v>350000</v>
    <v t="s">...</v>
    <v t="s">...</v>
    <v t="s">...</v>
    <v t="s">...</v>
    <v t="s">...</v>
    <v t="s">...</v>
    <v t="s">...</v>
    <v t="s">...</v>
    <v>96</v>
    <v>96</v>
    <v>2027</v>
    <v>1900000</v>
    <v>1250000</v>
    <v t="s">6%</v>
    <v>0.03</v>
    <v>650000</v>
    <v>97</v>
    <v>97</v>
    <v>2027</v>
    <v>1450000</v>
    <v>950000</v>
    <v t="s">4%</v>
    <v>0.08</v>
    <v>500000</v>
    <v>98</v>
    <v>98</v>
    <v>2027</v>
    <v>1300000</v>
    <v>800000</v>
    <v t="s">3%</v>
    <v>0.09</v>
    <v>500000</v>
    <v>99</v>
    <v>99</v>
    <v>2027</v>
    <v>1600000</v>
    <v>1100000</v>
    <v t="s">5%</v>
    <v>0.05</v>
    <v>500000</v>
    <v>100</v>
    <v>100</v>
    <v>2027</v>
    <v>1050000</v>
    <v>650000</v>
    <v t="s">3%</v>
    <v>7.0000000000000007E-2</v>
    <v>400000</v>
  </a>
  <a r="3" c="4">
    <v t="s"/>
    <v t="s">Category</v>
    <v t="s">Actual</v>
    <v t="s">Budget</v>
    <v>0</v>
    <v t="s">Revenue</v>
    <v>105000</v>
    <v>100000</v>
    <v>1</v>
    <v t="s">COGS</v>
    <v>45000</v>
    <v>42000</v>
  </a>
</arrayData>
</file>

<file path=xl/richData/rdrichvalue.xml><?xml version="1.0" encoding="utf-8"?>
<rvData xmlns="http://schemas.microsoft.com/office/spreadsheetml/2017/richdata" count="10">
  <rv s="0">
    <fb>0</fb>
    <v>2</v>
  </rv>
  <rv s="1">
    <v>0</v>
  </rv>
  <rv s="2">
    <v>DataFrame</v>
    <v>1</v>
    <v>1</v>
  </rv>
  <rv s="3">
    <v>&lt;class 'pandas.core.frame.DataFrame'&gt;</v>
    <v>DataFrame</v>
    <v xml:space="preserve">          Region  Revenue_Amount
0  North America         15000.0
1  North America             NaN
2  North America         14000.0
3  North America         18000.0
4  North America         17500.0</v>
    <v>2</v>
    <v>3</v>
  </rv>
  <rv s="1">
    <v>1</v>
  </rv>
  <rv s="2">
    <v>DataFrame</v>
    <v>5</v>
    <v>4</v>
  </rv>
  <rv s="3">
    <v>&lt;class 'pandas.core.frame.DataFrame'&gt;</v>
    <v>DataFrame</v>
    <v xml:space="preserve">     Scenario #  Forecast Year  Revenue Assumption  Cost Assumption  \
0           1.0         2025.0           1000000.0         700000.0   
1           2.0         2025.0           1200000.0         850000.0   
2           3.0         2025.0         ...</v>
    <v>5</v>
    <v>3</v>
  </rv>
  <rv s="1">
    <v>2</v>
  </rv>
  <rv s="2">
    <v>DataFrame</v>
    <v>7</v>
    <v>7</v>
  </rv>
  <rv s="3">
    <v>&lt;class 'pandas.core.frame.DataFrame'&gt;</v>
    <v>DataFrame</v>
    <v xml:space="preserve">  Category  Actual  Budget
0  Revenue  105000  100000
1     COGS   45000   42000</v>
    <v>8</v>
    <v>3</v>
  </rv>
</rvData>
</file>

<file path=xl/richData/rdrichvaluestructure.xml><?xml version="1.0" encoding="utf-8"?>
<rvStructures xmlns="http://schemas.microsoft.com/office/spreadsheetml/2017/richdata" count="4">
  <s t="_formattednumber">
    <k n="_Format" t="spb"/>
  </s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</s>
</rvStructures>
</file>

<file path=xl/richData/rdsupportingpropertybag.xml><?xml version="1.0" encoding="utf-8"?>
<supportingPropertyBags xmlns="http://schemas.microsoft.com/office/spreadsheetml/2017/richdata2">
  <spbData count="8">
    <spb s="0">
      <v>5</v>
      <v>2</v>
      <v>DataFrame</v>
      <v>arrayPreview</v>
      <v>1</v>
    </spb>
    <spb s="1">
      <v>0</v>
    </spb>
    <spb s="2">
      <v>1</v>
    </spb>
    <spb s="3">
      <v>https://www.anaconda.com/excel</v>
      <v>https://res.cdn.office.net/officepysvc/prod-preview/anacondalogo.png</v>
      <v>Python provided by Anaconda</v>
    </spb>
    <spb s="0">
      <v>101</v>
      <v>7</v>
      <v>DataFrame</v>
      <v>arrayPreview</v>
      <v>1</v>
    </spb>
    <spb s="1">
      <v>4</v>
    </spb>
    <spb s="0">
      <v>2</v>
      <v>3</v>
      <v>DataFrame</v>
      <v>arrayPreview</v>
      <v>1</v>
    </spb>
    <spb s="1">
      <v>6</v>
    </spb>
  </spbData>
</supportingPropertyBags>
</file>

<file path=xl/richData/rdsupportingpropertybagstructure.xml><?xml version="1.0" encoding="utf-8"?>
<spbStructures xmlns="http://schemas.microsoft.com/office/spreadsheetml/2017/richdata2" count="4">
  <s>
    <k n="drw" t="i"/>
    <k n="dcol" t="i"/>
    <k n="name" t="s"/>
    <k n="array" t="s"/>
    <k n="headers" t="b"/>
  </s>
  <s>
    <k n="ArrayCardInfo" t="spb"/>
  </s>
  <s>
    <k n="_Self" t="i"/>
  </s>
  <s>
    <k n="link" t="s"/>
    <k n="logo" t="s"/>
    <k n="name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0" formatCode="General"/>
    </x:dxf>
  </dxfs>
  <richProperties>
    <rPr n="NumberFormat" t="s"/>
  </richProperties>
  <richStyles>
    <rSty dxfid="0">
      <rpv i="0">0;-0;"nan"</rpv>
    </rSty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D8362-08AD-4AA4-ACD4-BBD0B1B81A58}">
  <dimension ref="A2:G14"/>
  <sheetViews>
    <sheetView showGridLines="0" zoomScale="130" zoomScaleNormal="130" workbookViewId="0">
      <selection activeCell="C19" sqref="C19"/>
    </sheetView>
  </sheetViews>
  <sheetFormatPr defaultRowHeight="14.4" x14ac:dyDescent="0.3"/>
  <cols>
    <col min="3" max="3" width="8.88671875" customWidth="1"/>
    <col min="4" max="4" width="2.44140625" customWidth="1"/>
  </cols>
  <sheetData>
    <row r="2" spans="1:7" x14ac:dyDescent="0.3">
      <c r="A2">
        <v>1</v>
      </c>
      <c r="B2" t="e" cm="1" vm="1">
        <f t="array" ref="B2">_xlfn._xlws.PY(0,1,B4:C9)</f>
        <v>#VALUE!</v>
      </c>
    </row>
    <row r="4" spans="1:7" ht="31.2" customHeight="1" x14ac:dyDescent="0.3">
      <c r="A4">
        <v>2</v>
      </c>
      <c r="B4" s="1" t="s">
        <v>0</v>
      </c>
      <c r="C4" s="1" t="s">
        <v>1</v>
      </c>
      <c r="D4" s="2"/>
      <c r="E4" s="1" t="str" cm="1">
        <f t="array" ref="E4:F9">_xlfn._xlws.PY(1,0)</f>
        <v>Region</v>
      </c>
      <c r="F4" s="1" t="str">
        <v>Revenue_Amount</v>
      </c>
    </row>
    <row r="5" spans="1:7" x14ac:dyDescent="0.3">
      <c r="B5" t="s">
        <v>2</v>
      </c>
      <c r="C5">
        <v>15000</v>
      </c>
      <c r="E5" t="str">
        <v>North America</v>
      </c>
      <c r="F5">
        <v>15000</v>
      </c>
    </row>
    <row r="6" spans="1:7" x14ac:dyDescent="0.3">
      <c r="B6" t="s">
        <v>2</v>
      </c>
      <c r="E6" t="str">
        <v>North America</v>
      </c>
      <c r="F6">
        <v>16250</v>
      </c>
    </row>
    <row r="7" spans="1:7" x14ac:dyDescent="0.3">
      <c r="B7" t="s">
        <v>2</v>
      </c>
      <c r="C7">
        <v>14000</v>
      </c>
      <c r="E7" t="str">
        <v>North America</v>
      </c>
      <c r="F7">
        <v>14000</v>
      </c>
    </row>
    <row r="8" spans="1:7" x14ac:dyDescent="0.3">
      <c r="B8" t="s">
        <v>2</v>
      </c>
      <c r="C8">
        <v>18000</v>
      </c>
      <c r="E8" t="str">
        <v>North America</v>
      </c>
      <c r="F8">
        <v>18000</v>
      </c>
    </row>
    <row r="9" spans="1:7" x14ac:dyDescent="0.3">
      <c r="B9" t="s">
        <v>2</v>
      </c>
      <c r="C9">
        <v>17500</v>
      </c>
      <c r="E9" t="str">
        <v>North America</v>
      </c>
      <c r="F9">
        <v>17500</v>
      </c>
    </row>
    <row r="11" spans="1:7" x14ac:dyDescent="0.3">
      <c r="A11">
        <v>3</v>
      </c>
      <c r="E11" t="str" cm="1">
        <f t="array" ref="E11:G14">_xlfn._xlws.PY(2,0)</f>
        <v/>
      </c>
      <c r="F11" t="str">
        <v>Region</v>
      </c>
      <c r="G11" t="str">
        <v>Revenue_Amount</v>
      </c>
    </row>
    <row r="12" spans="1:7" x14ac:dyDescent="0.3">
      <c r="E12">
        <v>0</v>
      </c>
      <c r="F12" t="str">
        <v>North America</v>
      </c>
      <c r="G12">
        <v>15000</v>
      </c>
    </row>
    <row r="13" spans="1:7" x14ac:dyDescent="0.3">
      <c r="E13">
        <v>2</v>
      </c>
      <c r="F13" t="str">
        <v>North America</v>
      </c>
      <c r="G13">
        <v>14000</v>
      </c>
    </row>
    <row r="14" spans="1:7" x14ac:dyDescent="0.3">
      <c r="E14">
        <v>4</v>
      </c>
      <c r="F14" t="str">
        <v>North America</v>
      </c>
      <c r="G14">
        <v>17500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838A8-17B5-48D0-9903-9C8CEF9C7B7B}">
  <dimension ref="B2:AA103"/>
  <sheetViews>
    <sheetView showGridLines="0" tabSelected="1" zoomScale="70" zoomScaleNormal="70" workbookViewId="0">
      <selection activeCell="L29" sqref="L29"/>
    </sheetView>
  </sheetViews>
  <sheetFormatPr defaultRowHeight="14.4" outlineLevelRow="1" outlineLevelCol="1" x14ac:dyDescent="0.3"/>
  <cols>
    <col min="2" max="8" width="8.88671875" customWidth="1" outlineLevel="1"/>
    <col min="11" max="11" width="19" customWidth="1"/>
    <col min="12" max="17" width="11.88671875" customWidth="1"/>
  </cols>
  <sheetData>
    <row r="2" spans="2:27" ht="15.6" customHeight="1" outlineLevel="1" x14ac:dyDescent="0.3"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spans="2:27" x14ac:dyDescent="0.3">
      <c r="B3">
        <v>1</v>
      </c>
      <c r="C3">
        <v>2025</v>
      </c>
      <c r="D3">
        <v>1000000</v>
      </c>
      <c r="E3">
        <v>700000</v>
      </c>
      <c r="F3" t="s">
        <v>3</v>
      </c>
      <c r="G3">
        <v>0.02</v>
      </c>
      <c r="H3">
        <v>300000</v>
      </c>
      <c r="K3" t="e" cm="1" vm="2">
        <f t="array" ref="K3">_xlfn._xlws.PY(3,1,B2:H103)</f>
        <v>#VALUE!</v>
      </c>
      <c r="T3" s="7" t="s">
        <v>17</v>
      </c>
      <c r="U3" s="7" t="s">
        <v>18</v>
      </c>
      <c r="V3" s="7" t="s">
        <v>19</v>
      </c>
    </row>
    <row r="4" spans="2:27" x14ac:dyDescent="0.3">
      <c r="B4">
        <v>2</v>
      </c>
      <c r="C4">
        <v>2025</v>
      </c>
      <c r="D4">
        <v>1200000</v>
      </c>
      <c r="E4">
        <v>850000</v>
      </c>
      <c r="F4" t="s">
        <v>4</v>
      </c>
      <c r="G4">
        <v>0.05</v>
      </c>
      <c r="H4">
        <v>350000</v>
      </c>
      <c r="T4" s="2" t="s">
        <v>20</v>
      </c>
      <c r="U4" s="2">
        <v>105000</v>
      </c>
      <c r="V4" s="2">
        <v>100000</v>
      </c>
      <c r="X4" t="e" cm="1" vm="3">
        <f t="array" ref="X4">_xlfn._xlws.PY(4,1,T3:V5)</f>
        <v>#VALUE!</v>
      </c>
    </row>
    <row r="5" spans="2:27" ht="28.8" x14ac:dyDescent="0.3">
      <c r="B5">
        <v>3</v>
      </c>
      <c r="C5">
        <v>2025</v>
      </c>
      <c r="D5">
        <v>800000</v>
      </c>
      <c r="E5">
        <v>500000</v>
      </c>
      <c r="F5" t="s">
        <v>5</v>
      </c>
      <c r="G5">
        <v>7.0000000000000007E-2</v>
      </c>
      <c r="H5">
        <v>300000</v>
      </c>
      <c r="K5" t="str" cm="1">
        <f t="array" ref="K5:Q13">_xlfn._xlws.PY(5,0)</f>
        <v/>
      </c>
      <c r="L5" s="4" t="str">
        <v>Scenario #</v>
      </c>
      <c r="M5" s="4" t="str">
        <v>Forecast Year</v>
      </c>
      <c r="N5" s="4" t="str">
        <v>Revenue Assumption</v>
      </c>
      <c r="O5" s="4" t="str">
        <v>Cost Assumption</v>
      </c>
      <c r="P5" s="4" t="str">
        <v>Probability Weight</v>
      </c>
      <c r="Q5" s="4" t="str">
        <v>Net Profit Forecast</v>
      </c>
      <c r="T5" s="2" t="s">
        <v>21</v>
      </c>
      <c r="U5" s="2">
        <v>45000</v>
      </c>
      <c r="V5" s="2">
        <v>42000</v>
      </c>
    </row>
    <row r="6" spans="2:27" x14ac:dyDescent="0.3">
      <c r="B6">
        <v>4</v>
      </c>
      <c r="C6">
        <v>2025</v>
      </c>
      <c r="D6">
        <v>1400000</v>
      </c>
      <c r="E6">
        <v>900000</v>
      </c>
      <c r="F6" t="s">
        <v>6</v>
      </c>
      <c r="G6">
        <v>0.03</v>
      </c>
      <c r="H6">
        <v>500000</v>
      </c>
      <c r="K6" t="str">
        <v>count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  <c r="X6" t="str" cm="1">
        <f t="array" ref="X6:AA8">_xlfn._xlws.PY(6,0)</f>
        <v>Category</v>
      </c>
      <c r="Y6" t="str">
        <v>Actual</v>
      </c>
      <c r="Z6" t="str">
        <v>Budget</v>
      </c>
      <c r="AA6" t="str">
        <v>Variance</v>
      </c>
    </row>
    <row r="7" spans="2:27" x14ac:dyDescent="0.3">
      <c r="B7">
        <v>5</v>
      </c>
      <c r="C7">
        <v>2025</v>
      </c>
      <c r="D7">
        <v>950000</v>
      </c>
      <c r="E7">
        <v>600000</v>
      </c>
      <c r="F7" t="s">
        <v>5</v>
      </c>
      <c r="G7">
        <v>0.06</v>
      </c>
      <c r="H7">
        <v>350000</v>
      </c>
      <c r="K7" t="str">
        <v>mean</v>
      </c>
      <c r="L7">
        <v>50.5</v>
      </c>
      <c r="M7">
        <v>2026.05</v>
      </c>
      <c r="N7">
        <v>1301200</v>
      </c>
      <c r="O7">
        <v>832200</v>
      </c>
      <c r="P7">
        <v>5.4900000000000004E-2</v>
      </c>
      <c r="Q7">
        <v>469000</v>
      </c>
      <c r="X7" t="str">
        <v>Revenue</v>
      </c>
      <c r="Y7">
        <v>105000</v>
      </c>
      <c r="Z7">
        <v>100000</v>
      </c>
      <c r="AA7">
        <v>5000</v>
      </c>
    </row>
    <row r="8" spans="2:27" x14ac:dyDescent="0.3">
      <c r="B8">
        <v>6</v>
      </c>
      <c r="C8">
        <v>2025</v>
      </c>
      <c r="D8">
        <v>2000000</v>
      </c>
      <c r="E8">
        <v>1400000</v>
      </c>
      <c r="F8" t="s">
        <v>7</v>
      </c>
      <c r="G8">
        <v>0.04</v>
      </c>
      <c r="H8">
        <v>600000</v>
      </c>
      <c r="K8" t="str">
        <v>std</v>
      </c>
      <c r="L8">
        <v>29.011491975882016</v>
      </c>
      <c r="M8">
        <v>0.84536765057959606</v>
      </c>
      <c r="N8">
        <v>316391.52321071428</v>
      </c>
      <c r="O8">
        <v>235211.40287070276</v>
      </c>
      <c r="P8">
        <v>2.3071912172880925E-2</v>
      </c>
      <c r="Q8">
        <v>98683.250039628503</v>
      </c>
      <c r="X8" t="str">
        <v>COGS</v>
      </c>
      <c r="Y8">
        <v>45000</v>
      </c>
      <c r="Z8">
        <v>42000</v>
      </c>
      <c r="AA8">
        <v>3000</v>
      </c>
    </row>
    <row r="9" spans="2:27" x14ac:dyDescent="0.3">
      <c r="B9">
        <v>7</v>
      </c>
      <c r="C9">
        <v>2025</v>
      </c>
      <c r="D9">
        <v>1100000</v>
      </c>
      <c r="E9">
        <v>700000</v>
      </c>
      <c r="F9" t="s">
        <v>3</v>
      </c>
      <c r="G9">
        <v>0.1</v>
      </c>
      <c r="H9">
        <v>400000</v>
      </c>
      <c r="K9" t="str">
        <v>min</v>
      </c>
      <c r="L9">
        <v>1</v>
      </c>
      <c r="M9">
        <v>2025</v>
      </c>
      <c r="N9">
        <v>800000</v>
      </c>
      <c r="O9">
        <v>500000</v>
      </c>
      <c r="P9">
        <v>0.02</v>
      </c>
      <c r="Q9">
        <v>300000</v>
      </c>
    </row>
    <row r="10" spans="2:27" x14ac:dyDescent="0.3">
      <c r="B10">
        <v>8</v>
      </c>
      <c r="C10">
        <v>2025</v>
      </c>
      <c r="D10">
        <v>1300000</v>
      </c>
      <c r="E10">
        <v>780000</v>
      </c>
      <c r="F10" t="s">
        <v>4</v>
      </c>
      <c r="G10">
        <v>0.03</v>
      </c>
      <c r="H10">
        <v>520000</v>
      </c>
      <c r="K10" t="str">
        <v>25%</v>
      </c>
      <c r="L10">
        <v>25.75</v>
      </c>
      <c r="M10">
        <v>2025</v>
      </c>
      <c r="N10">
        <v>1037500</v>
      </c>
      <c r="O10">
        <v>650000</v>
      </c>
      <c r="P10">
        <v>0.04</v>
      </c>
      <c r="Q10">
        <v>400000</v>
      </c>
    </row>
    <row r="11" spans="2:27" x14ac:dyDescent="0.3">
      <c r="B11">
        <v>9</v>
      </c>
      <c r="C11">
        <v>2025</v>
      </c>
      <c r="D11">
        <v>900000</v>
      </c>
      <c r="E11">
        <v>600000</v>
      </c>
      <c r="F11" t="s">
        <v>8</v>
      </c>
      <c r="G11">
        <v>0.08</v>
      </c>
      <c r="H11">
        <v>300000</v>
      </c>
      <c r="K11" t="str">
        <v>50%</v>
      </c>
      <c r="L11">
        <v>50.5</v>
      </c>
      <c r="M11">
        <v>2026</v>
      </c>
      <c r="N11">
        <v>1275000</v>
      </c>
      <c r="O11">
        <v>800000</v>
      </c>
      <c r="P11">
        <v>0.05</v>
      </c>
      <c r="Q11">
        <v>460000</v>
      </c>
    </row>
    <row r="12" spans="2:27" x14ac:dyDescent="0.3">
      <c r="B12">
        <v>10</v>
      </c>
      <c r="C12">
        <v>2025</v>
      </c>
      <c r="D12">
        <v>1600000</v>
      </c>
      <c r="E12">
        <v>1000000</v>
      </c>
      <c r="F12" t="s">
        <v>6</v>
      </c>
      <c r="G12">
        <v>0.05</v>
      </c>
      <c r="H12">
        <v>600000</v>
      </c>
      <c r="K12" t="str">
        <v>75%</v>
      </c>
      <c r="L12">
        <v>75.25</v>
      </c>
      <c r="M12">
        <v>2027</v>
      </c>
      <c r="N12">
        <v>1500000</v>
      </c>
      <c r="O12">
        <v>950000</v>
      </c>
      <c r="P12">
        <v>7.0000000000000007E-2</v>
      </c>
      <c r="Q12">
        <v>550000</v>
      </c>
    </row>
    <row r="13" spans="2:27" x14ac:dyDescent="0.3">
      <c r="B13">
        <v>11</v>
      </c>
      <c r="C13">
        <v>2025</v>
      </c>
      <c r="D13">
        <v>1250000</v>
      </c>
      <c r="E13">
        <v>800000</v>
      </c>
      <c r="F13" t="s">
        <v>4</v>
      </c>
      <c r="G13">
        <v>0.06</v>
      </c>
      <c r="H13">
        <v>450000</v>
      </c>
      <c r="K13" t="str">
        <v>max</v>
      </c>
      <c r="L13">
        <v>100</v>
      </c>
      <c r="M13">
        <v>2027</v>
      </c>
      <c r="N13">
        <v>2100000</v>
      </c>
      <c r="O13">
        <v>1400000</v>
      </c>
      <c r="P13">
        <v>0.1</v>
      </c>
      <c r="Q13">
        <v>700000</v>
      </c>
    </row>
    <row r="14" spans="2:27" x14ac:dyDescent="0.3">
      <c r="B14">
        <v>12</v>
      </c>
      <c r="C14">
        <v>2025</v>
      </c>
      <c r="D14">
        <v>1050000</v>
      </c>
      <c r="E14">
        <v>620000</v>
      </c>
      <c r="F14" t="s">
        <v>3</v>
      </c>
      <c r="G14">
        <v>0.04</v>
      </c>
      <c r="H14">
        <v>430000</v>
      </c>
    </row>
    <row r="15" spans="2:27" x14ac:dyDescent="0.3">
      <c r="L15" s="6" t="s">
        <v>16</v>
      </c>
      <c r="M15" s="6"/>
      <c r="N15" s="6"/>
      <c r="O15" s="6"/>
      <c r="P15" s="6"/>
      <c r="Q15" s="6"/>
    </row>
    <row r="16" spans="2:27" ht="28.8" x14ac:dyDescent="0.3">
      <c r="B16">
        <v>13</v>
      </c>
      <c r="C16">
        <v>2025</v>
      </c>
      <c r="D16">
        <v>1350000</v>
      </c>
      <c r="E16">
        <v>900000</v>
      </c>
      <c r="F16" t="s">
        <v>4</v>
      </c>
      <c r="G16">
        <v>0.02</v>
      </c>
      <c r="H16">
        <v>450000</v>
      </c>
      <c r="K16" t="str" cm="1">
        <f t="array" ref="K16:Q22">_xlfn._xlws.PY(7,0)</f>
        <v/>
      </c>
      <c r="L16" s="4" t="str">
        <v>Scenario #</v>
      </c>
      <c r="M16" s="4" t="str">
        <v>Forecast Year</v>
      </c>
      <c r="N16" s="4" t="str">
        <v>Revenue Assumption</v>
      </c>
      <c r="O16" s="4" t="str">
        <v>Cost Assumption</v>
      </c>
      <c r="P16" s="4" t="str">
        <v>Probability Weight</v>
      </c>
      <c r="Q16" s="4" t="str">
        <v>Net Profit Forecast</v>
      </c>
    </row>
    <row r="17" spans="2:17" x14ac:dyDescent="0.3">
      <c r="B17">
        <v>14</v>
      </c>
      <c r="C17">
        <v>2025</v>
      </c>
      <c r="D17">
        <v>1500000</v>
      </c>
      <c r="E17">
        <v>950000</v>
      </c>
      <c r="F17" t="s">
        <v>6</v>
      </c>
      <c r="G17">
        <v>0.09</v>
      </c>
      <c r="H17">
        <v>550000</v>
      </c>
      <c r="K17" t="str">
        <v>Scenario #</v>
      </c>
      <c r="L17" s="5">
        <v>1</v>
      </c>
      <c r="M17" s="5">
        <v>0.94048123064422162</v>
      </c>
      <c r="N17" s="5">
        <v>7.8417992509559373E-2</v>
      </c>
      <c r="O17" s="5">
        <v>5.4384547742082609E-2</v>
      </c>
      <c r="P17" s="5">
        <v>5.1685857697020991E-2</v>
      </c>
      <c r="Q17" s="5">
        <v>0.12179293166262392</v>
      </c>
    </row>
    <row r="18" spans="2:17" x14ac:dyDescent="0.3">
      <c r="B18">
        <v>15</v>
      </c>
      <c r="C18">
        <v>2025</v>
      </c>
      <c r="D18">
        <v>1700000</v>
      </c>
      <c r="E18">
        <v>1200000</v>
      </c>
      <c r="F18" t="s">
        <v>7</v>
      </c>
      <c r="G18">
        <v>0.08</v>
      </c>
      <c r="H18">
        <v>500000</v>
      </c>
      <c r="K18" t="str">
        <v>Forecast Year</v>
      </c>
      <c r="L18" s="5">
        <v>0.94048123064422162</v>
      </c>
      <c r="M18" s="5">
        <v>1</v>
      </c>
      <c r="N18" s="5">
        <v>6.1708699449219313E-2</v>
      </c>
      <c r="O18" s="5">
        <v>6.2940779151899551E-2</v>
      </c>
      <c r="P18" s="5">
        <v>3.3921643902373851E-2</v>
      </c>
      <c r="Q18" s="5">
        <v>4.7826966076838388E-2</v>
      </c>
    </row>
    <row r="19" spans="2:17" x14ac:dyDescent="0.3">
      <c r="B19">
        <v>16</v>
      </c>
      <c r="C19">
        <v>2025</v>
      </c>
      <c r="D19">
        <v>1150000</v>
      </c>
      <c r="E19">
        <v>750000</v>
      </c>
      <c r="F19" t="s">
        <v>5</v>
      </c>
      <c r="G19">
        <v>7.0000000000000007E-2</v>
      </c>
      <c r="H19">
        <v>400000</v>
      </c>
      <c r="K19" t="str">
        <v>Revenue Assumption</v>
      </c>
      <c r="L19" s="5">
        <v>7.8417992509559373E-2</v>
      </c>
      <c r="M19" s="5">
        <v>6.1708699449219313E-2</v>
      </c>
      <c r="N19" s="5">
        <v>1</v>
      </c>
      <c r="O19" s="5">
        <v>0.97884830229630504</v>
      </c>
      <c r="P19" s="5">
        <v>-0.48830735594892377</v>
      </c>
      <c r="Q19" s="5">
        <v>0.87304827106319338</v>
      </c>
    </row>
    <row r="20" spans="2:17" x14ac:dyDescent="0.3">
      <c r="B20">
        <v>17</v>
      </c>
      <c r="C20">
        <v>2025</v>
      </c>
      <c r="D20">
        <v>1450000</v>
      </c>
      <c r="E20">
        <v>900000</v>
      </c>
      <c r="F20" t="s">
        <v>6</v>
      </c>
      <c r="G20">
        <v>0.03</v>
      </c>
      <c r="H20">
        <v>550000</v>
      </c>
      <c r="K20" t="str">
        <v>Cost Assumption</v>
      </c>
      <c r="L20" s="5">
        <v>5.4384547742082609E-2</v>
      </c>
      <c r="M20" s="5">
        <v>6.2940779151899551E-2</v>
      </c>
      <c r="N20" s="5">
        <v>0.97884830229630504</v>
      </c>
      <c r="O20" s="5">
        <v>1</v>
      </c>
      <c r="P20" s="5">
        <v>-0.45989312852478426</v>
      </c>
      <c r="Q20" s="5">
        <v>0.75481809177479242</v>
      </c>
    </row>
    <row r="21" spans="2:17" x14ac:dyDescent="0.3">
      <c r="B21">
        <v>18</v>
      </c>
      <c r="C21">
        <v>2025</v>
      </c>
      <c r="D21">
        <v>950000</v>
      </c>
      <c r="E21">
        <v>500000</v>
      </c>
      <c r="F21" t="s">
        <v>5</v>
      </c>
      <c r="G21">
        <v>0.06</v>
      </c>
      <c r="H21">
        <v>450000</v>
      </c>
      <c r="K21" t="str">
        <v>Probability Weight</v>
      </c>
      <c r="L21" s="5">
        <v>5.1685857697020991E-2</v>
      </c>
      <c r="M21" s="5">
        <v>3.3921643902373851E-2</v>
      </c>
      <c r="N21" s="5">
        <v>-0.48830735594892377</v>
      </c>
      <c r="O21" s="5">
        <v>-0.45989312852478426</v>
      </c>
      <c r="P21" s="5">
        <v>1</v>
      </c>
      <c r="Q21" s="5">
        <v>-0.46942313101932687</v>
      </c>
    </row>
    <row r="22" spans="2:17" x14ac:dyDescent="0.3">
      <c r="B22">
        <v>19</v>
      </c>
      <c r="C22">
        <v>2025</v>
      </c>
      <c r="D22">
        <v>1800000</v>
      </c>
      <c r="E22">
        <v>1200000</v>
      </c>
      <c r="F22" t="s">
        <v>7</v>
      </c>
      <c r="G22">
        <v>0.02</v>
      </c>
      <c r="H22">
        <v>600000</v>
      </c>
      <c r="K22" t="str">
        <v>Net Profit Forecast</v>
      </c>
      <c r="L22" s="5">
        <v>0.12179293166262392</v>
      </c>
      <c r="M22" s="5">
        <v>4.7826966076838388E-2</v>
      </c>
      <c r="N22" s="5">
        <v>0.87304827106319338</v>
      </c>
      <c r="O22" s="5">
        <v>0.75481809177479242</v>
      </c>
      <c r="P22" s="5">
        <v>-0.46942313101932687</v>
      </c>
      <c r="Q22" s="5">
        <v>1</v>
      </c>
    </row>
    <row r="23" spans="2:17" x14ac:dyDescent="0.3">
      <c r="B23">
        <v>20</v>
      </c>
      <c r="C23">
        <v>2025</v>
      </c>
      <c r="D23">
        <v>900000</v>
      </c>
      <c r="E23">
        <v>550000</v>
      </c>
      <c r="F23" t="s">
        <v>3</v>
      </c>
      <c r="G23">
        <v>0.05</v>
      </c>
      <c r="H23">
        <v>350000</v>
      </c>
    </row>
    <row r="24" spans="2:17" x14ac:dyDescent="0.3">
      <c r="B24">
        <v>21</v>
      </c>
      <c r="C24">
        <v>2025</v>
      </c>
      <c r="D24">
        <v>2100000</v>
      </c>
      <c r="E24">
        <v>1400000</v>
      </c>
      <c r="F24" t="s">
        <v>6</v>
      </c>
      <c r="G24">
        <v>0.04</v>
      </c>
      <c r="H24">
        <v>700000</v>
      </c>
    </row>
    <row r="25" spans="2:17" x14ac:dyDescent="0.3">
      <c r="B25">
        <v>22</v>
      </c>
      <c r="C25">
        <v>2025</v>
      </c>
      <c r="D25">
        <v>1300000</v>
      </c>
      <c r="E25">
        <v>700000</v>
      </c>
      <c r="F25" t="s">
        <v>4</v>
      </c>
      <c r="G25">
        <v>0.06</v>
      </c>
      <c r="H25">
        <v>600000</v>
      </c>
    </row>
    <row r="26" spans="2:17" x14ac:dyDescent="0.3">
      <c r="B26">
        <v>23</v>
      </c>
      <c r="C26">
        <v>2025</v>
      </c>
      <c r="D26">
        <v>850000</v>
      </c>
      <c r="E26">
        <v>500000</v>
      </c>
      <c r="F26" t="s">
        <v>8</v>
      </c>
      <c r="G26">
        <v>0.1</v>
      </c>
      <c r="H26">
        <v>350000</v>
      </c>
    </row>
    <row r="27" spans="2:17" x14ac:dyDescent="0.3">
      <c r="B27">
        <v>24</v>
      </c>
      <c r="C27">
        <v>2025</v>
      </c>
      <c r="D27">
        <v>1400000</v>
      </c>
      <c r="E27">
        <v>850000</v>
      </c>
      <c r="F27" t="s">
        <v>4</v>
      </c>
      <c r="G27">
        <v>0.03</v>
      </c>
      <c r="H27">
        <v>550000</v>
      </c>
    </row>
    <row r="28" spans="2:17" x14ac:dyDescent="0.3">
      <c r="B28">
        <v>25</v>
      </c>
      <c r="C28">
        <v>2025</v>
      </c>
      <c r="D28">
        <v>1550000</v>
      </c>
      <c r="E28">
        <v>1000000</v>
      </c>
      <c r="F28" t="s">
        <v>6</v>
      </c>
      <c r="G28">
        <v>0.05</v>
      </c>
      <c r="H28">
        <v>550000</v>
      </c>
    </row>
    <row r="29" spans="2:17" x14ac:dyDescent="0.3">
      <c r="B29">
        <v>26</v>
      </c>
      <c r="C29">
        <v>2025</v>
      </c>
      <c r="D29">
        <v>1250000</v>
      </c>
      <c r="E29">
        <v>650000</v>
      </c>
      <c r="F29" t="s">
        <v>4</v>
      </c>
      <c r="G29">
        <v>0.02</v>
      </c>
      <c r="H29">
        <v>600000</v>
      </c>
    </row>
    <row r="30" spans="2:17" x14ac:dyDescent="0.3">
      <c r="B30">
        <v>27</v>
      </c>
      <c r="C30">
        <v>2025</v>
      </c>
      <c r="D30">
        <v>950000</v>
      </c>
      <c r="E30">
        <v>580000</v>
      </c>
      <c r="F30" t="s">
        <v>5</v>
      </c>
      <c r="G30">
        <v>7.0000000000000007E-2</v>
      </c>
      <c r="H30">
        <v>370000</v>
      </c>
    </row>
    <row r="31" spans="2:17" x14ac:dyDescent="0.3">
      <c r="B31">
        <v>28</v>
      </c>
      <c r="C31">
        <v>2025</v>
      </c>
      <c r="D31">
        <v>1000000</v>
      </c>
      <c r="E31">
        <v>700000</v>
      </c>
      <c r="F31" t="s">
        <v>3</v>
      </c>
      <c r="G31">
        <v>0.09</v>
      </c>
      <c r="H31">
        <v>300000</v>
      </c>
    </row>
    <row r="32" spans="2:17" x14ac:dyDescent="0.3">
      <c r="B32">
        <v>29</v>
      </c>
      <c r="C32">
        <v>2025</v>
      </c>
      <c r="D32">
        <v>1350000</v>
      </c>
      <c r="E32">
        <v>810000</v>
      </c>
      <c r="F32" t="s">
        <v>4</v>
      </c>
      <c r="G32">
        <v>0.04</v>
      </c>
      <c r="H32">
        <v>540000</v>
      </c>
    </row>
    <row r="33" spans="2:8" x14ac:dyDescent="0.3">
      <c r="B33">
        <v>30</v>
      </c>
      <c r="C33">
        <v>2025</v>
      </c>
      <c r="D33">
        <v>1050000</v>
      </c>
      <c r="E33">
        <v>700000</v>
      </c>
      <c r="F33" t="s">
        <v>3</v>
      </c>
      <c r="G33">
        <v>0.06</v>
      </c>
      <c r="H33">
        <v>350000</v>
      </c>
    </row>
    <row r="34" spans="2:8" x14ac:dyDescent="0.3">
      <c r="B34">
        <v>31</v>
      </c>
      <c r="C34">
        <v>2025</v>
      </c>
      <c r="D34">
        <v>1200000</v>
      </c>
      <c r="E34">
        <v>750000</v>
      </c>
      <c r="F34" t="s">
        <v>4</v>
      </c>
      <c r="G34">
        <v>0.05</v>
      </c>
      <c r="H34">
        <v>450000</v>
      </c>
    </row>
    <row r="35" spans="2:8" x14ac:dyDescent="0.3">
      <c r="B35">
        <v>32</v>
      </c>
      <c r="C35">
        <v>2025</v>
      </c>
      <c r="D35">
        <v>1600000</v>
      </c>
      <c r="E35">
        <v>1000000</v>
      </c>
      <c r="F35" t="s">
        <v>6</v>
      </c>
      <c r="G35">
        <v>0.04</v>
      </c>
      <c r="H35">
        <v>600000</v>
      </c>
    </row>
    <row r="36" spans="2:8" x14ac:dyDescent="0.3">
      <c r="B36">
        <v>33</v>
      </c>
      <c r="C36">
        <v>2025</v>
      </c>
      <c r="D36">
        <v>1400000</v>
      </c>
      <c r="E36">
        <v>900000</v>
      </c>
      <c r="F36" t="s">
        <v>6</v>
      </c>
      <c r="G36">
        <v>7.0000000000000007E-2</v>
      </c>
      <c r="H36">
        <v>500000</v>
      </c>
    </row>
    <row r="37" spans="2:8" x14ac:dyDescent="0.3">
      <c r="B37">
        <v>34</v>
      </c>
      <c r="C37">
        <v>2026</v>
      </c>
      <c r="D37">
        <v>1000000</v>
      </c>
      <c r="E37">
        <v>650000</v>
      </c>
      <c r="F37" t="s">
        <v>5</v>
      </c>
      <c r="G37">
        <v>0.08</v>
      </c>
      <c r="H37">
        <v>350000</v>
      </c>
    </row>
    <row r="38" spans="2:8" x14ac:dyDescent="0.3">
      <c r="B38">
        <v>35</v>
      </c>
      <c r="C38">
        <v>2026</v>
      </c>
      <c r="D38">
        <v>1250000</v>
      </c>
      <c r="E38">
        <v>850000</v>
      </c>
      <c r="F38" t="s">
        <v>4</v>
      </c>
      <c r="G38">
        <v>0.03</v>
      </c>
      <c r="H38">
        <v>400000</v>
      </c>
    </row>
    <row r="39" spans="2:8" x14ac:dyDescent="0.3">
      <c r="B39">
        <v>36</v>
      </c>
      <c r="C39">
        <v>2026</v>
      </c>
      <c r="D39">
        <v>1500000</v>
      </c>
      <c r="E39">
        <v>1000000</v>
      </c>
      <c r="F39" t="s">
        <v>6</v>
      </c>
      <c r="G39">
        <v>0.09</v>
      </c>
      <c r="H39">
        <v>500000</v>
      </c>
    </row>
    <row r="40" spans="2:8" x14ac:dyDescent="0.3">
      <c r="B40">
        <v>37</v>
      </c>
      <c r="C40">
        <v>2026</v>
      </c>
      <c r="D40">
        <v>1050000</v>
      </c>
      <c r="E40">
        <v>700000</v>
      </c>
      <c r="F40" t="s">
        <v>3</v>
      </c>
      <c r="G40">
        <v>0.05</v>
      </c>
      <c r="H40">
        <v>350000</v>
      </c>
    </row>
    <row r="41" spans="2:8" x14ac:dyDescent="0.3">
      <c r="B41">
        <v>38</v>
      </c>
      <c r="C41">
        <v>2026</v>
      </c>
      <c r="D41">
        <v>950000</v>
      </c>
      <c r="E41">
        <v>600000</v>
      </c>
      <c r="F41" t="s">
        <v>5</v>
      </c>
      <c r="G41">
        <v>0.1</v>
      </c>
      <c r="H41">
        <v>350000</v>
      </c>
    </row>
    <row r="42" spans="2:8" x14ac:dyDescent="0.3">
      <c r="B42">
        <v>39</v>
      </c>
      <c r="C42">
        <v>2026</v>
      </c>
      <c r="D42">
        <v>1300000</v>
      </c>
      <c r="E42">
        <v>900000</v>
      </c>
      <c r="F42" t="s">
        <v>3</v>
      </c>
      <c r="G42">
        <v>0.06</v>
      </c>
      <c r="H42">
        <v>400000</v>
      </c>
    </row>
    <row r="43" spans="2:8" x14ac:dyDescent="0.3">
      <c r="B43">
        <v>40</v>
      </c>
      <c r="C43">
        <v>2026</v>
      </c>
      <c r="D43">
        <v>1400000</v>
      </c>
      <c r="E43">
        <v>950000</v>
      </c>
      <c r="F43" t="s">
        <v>4</v>
      </c>
      <c r="G43">
        <v>0.02</v>
      </c>
      <c r="H43">
        <v>450000</v>
      </c>
    </row>
    <row r="44" spans="2:8" x14ac:dyDescent="0.3">
      <c r="B44">
        <v>41</v>
      </c>
      <c r="C44">
        <v>2026</v>
      </c>
      <c r="D44">
        <v>1600000</v>
      </c>
      <c r="E44">
        <v>1100000</v>
      </c>
      <c r="F44" t="s">
        <v>6</v>
      </c>
      <c r="G44">
        <v>7.0000000000000007E-2</v>
      </c>
      <c r="H44">
        <v>500000</v>
      </c>
    </row>
    <row r="45" spans="2:8" x14ac:dyDescent="0.3">
      <c r="B45">
        <v>42</v>
      </c>
      <c r="C45">
        <v>2026</v>
      </c>
      <c r="D45">
        <v>1150000</v>
      </c>
      <c r="E45">
        <v>800000</v>
      </c>
      <c r="F45" t="s">
        <v>3</v>
      </c>
      <c r="G45">
        <v>0.03</v>
      </c>
      <c r="H45">
        <v>350000</v>
      </c>
    </row>
    <row r="46" spans="2:8" x14ac:dyDescent="0.3">
      <c r="B46">
        <v>43</v>
      </c>
      <c r="C46">
        <v>2026</v>
      </c>
      <c r="D46">
        <v>1450000</v>
      </c>
      <c r="E46">
        <v>1000000</v>
      </c>
      <c r="F46" t="s">
        <v>4</v>
      </c>
      <c r="G46">
        <v>0.04</v>
      </c>
      <c r="H46">
        <v>450000</v>
      </c>
    </row>
    <row r="47" spans="2:8" x14ac:dyDescent="0.3">
      <c r="B47">
        <v>44</v>
      </c>
      <c r="C47">
        <v>2026</v>
      </c>
      <c r="D47">
        <v>1700000</v>
      </c>
      <c r="E47">
        <v>1100000</v>
      </c>
      <c r="F47" t="s">
        <v>7</v>
      </c>
      <c r="G47">
        <v>0.05</v>
      </c>
      <c r="H47">
        <v>600000</v>
      </c>
    </row>
    <row r="48" spans="2:8" x14ac:dyDescent="0.3">
      <c r="B48">
        <v>45</v>
      </c>
      <c r="C48">
        <v>2026</v>
      </c>
      <c r="D48">
        <v>1800000</v>
      </c>
      <c r="E48">
        <v>1200000</v>
      </c>
      <c r="F48" t="s">
        <v>6</v>
      </c>
      <c r="G48">
        <v>0.04</v>
      </c>
      <c r="H48">
        <v>600000</v>
      </c>
    </row>
    <row r="49" spans="2:8" x14ac:dyDescent="0.3">
      <c r="B49">
        <v>46</v>
      </c>
      <c r="C49">
        <v>2026</v>
      </c>
      <c r="D49">
        <v>2100000</v>
      </c>
      <c r="E49">
        <v>1400000</v>
      </c>
      <c r="F49" t="s">
        <v>6</v>
      </c>
      <c r="G49">
        <v>0.02</v>
      </c>
      <c r="H49">
        <v>700000</v>
      </c>
    </row>
    <row r="50" spans="2:8" x14ac:dyDescent="0.3">
      <c r="B50">
        <v>47</v>
      </c>
      <c r="C50">
        <v>2026</v>
      </c>
      <c r="D50">
        <v>900000</v>
      </c>
      <c r="E50">
        <v>550000</v>
      </c>
      <c r="F50" t="s">
        <v>8</v>
      </c>
      <c r="G50">
        <v>0.1</v>
      </c>
      <c r="H50">
        <v>350000</v>
      </c>
    </row>
    <row r="51" spans="2:8" x14ac:dyDescent="0.3">
      <c r="B51">
        <v>48</v>
      </c>
      <c r="C51">
        <v>2026</v>
      </c>
      <c r="D51">
        <v>850000</v>
      </c>
      <c r="E51">
        <v>500000</v>
      </c>
      <c r="F51" t="s">
        <v>5</v>
      </c>
      <c r="G51">
        <v>0.06</v>
      </c>
      <c r="H51">
        <v>350000</v>
      </c>
    </row>
    <row r="52" spans="2:8" x14ac:dyDescent="0.3">
      <c r="B52">
        <v>49</v>
      </c>
      <c r="C52">
        <v>2026</v>
      </c>
      <c r="D52">
        <v>1100000</v>
      </c>
      <c r="E52">
        <v>650000</v>
      </c>
      <c r="F52" t="s">
        <v>3</v>
      </c>
      <c r="G52">
        <v>0.05</v>
      </c>
      <c r="H52">
        <v>450000</v>
      </c>
    </row>
    <row r="53" spans="2:8" x14ac:dyDescent="0.3">
      <c r="B53">
        <v>50</v>
      </c>
      <c r="C53">
        <v>2026</v>
      </c>
      <c r="D53">
        <v>1350000</v>
      </c>
      <c r="E53">
        <v>900000</v>
      </c>
      <c r="F53" t="s">
        <v>4</v>
      </c>
      <c r="G53">
        <v>0.08</v>
      </c>
      <c r="H53">
        <v>450000</v>
      </c>
    </row>
    <row r="54" spans="2:8" x14ac:dyDescent="0.3">
      <c r="B54">
        <v>51</v>
      </c>
      <c r="C54">
        <v>2026</v>
      </c>
      <c r="D54">
        <v>1250000</v>
      </c>
      <c r="E54">
        <v>770000</v>
      </c>
      <c r="F54" t="s">
        <v>3</v>
      </c>
      <c r="G54">
        <v>0.06</v>
      </c>
      <c r="H54">
        <v>480000</v>
      </c>
    </row>
    <row r="55" spans="2:8" x14ac:dyDescent="0.3">
      <c r="B55">
        <v>52</v>
      </c>
      <c r="C55">
        <v>2026</v>
      </c>
      <c r="D55">
        <v>980000</v>
      </c>
      <c r="E55">
        <v>600000</v>
      </c>
      <c r="F55" t="s">
        <v>5</v>
      </c>
      <c r="G55">
        <v>0.04</v>
      </c>
      <c r="H55">
        <v>380000</v>
      </c>
    </row>
    <row r="56" spans="2:8" x14ac:dyDescent="0.3">
      <c r="B56">
        <v>53</v>
      </c>
      <c r="C56">
        <v>2026</v>
      </c>
      <c r="D56">
        <v>1000000</v>
      </c>
      <c r="E56">
        <v>700000</v>
      </c>
      <c r="F56" t="s">
        <v>3</v>
      </c>
      <c r="G56">
        <v>0.09</v>
      </c>
      <c r="H56">
        <v>300000</v>
      </c>
    </row>
    <row r="57" spans="2:8" x14ac:dyDescent="0.3">
      <c r="B57">
        <v>54</v>
      </c>
      <c r="C57">
        <v>2026</v>
      </c>
      <c r="D57">
        <v>1400000</v>
      </c>
      <c r="E57">
        <v>850000</v>
      </c>
      <c r="F57" t="s">
        <v>6</v>
      </c>
      <c r="G57">
        <v>0.03</v>
      </c>
      <c r="H57">
        <v>550000</v>
      </c>
    </row>
    <row r="58" spans="2:8" x14ac:dyDescent="0.3">
      <c r="B58">
        <v>55</v>
      </c>
      <c r="C58">
        <v>2026</v>
      </c>
      <c r="D58">
        <v>1550000</v>
      </c>
      <c r="E58">
        <v>950000</v>
      </c>
      <c r="F58" t="s">
        <v>4</v>
      </c>
      <c r="G58">
        <v>0.02</v>
      </c>
      <c r="H58">
        <v>600000</v>
      </c>
    </row>
    <row r="59" spans="2:8" x14ac:dyDescent="0.3">
      <c r="B59">
        <v>56</v>
      </c>
      <c r="C59">
        <v>2026</v>
      </c>
      <c r="D59">
        <v>900000</v>
      </c>
      <c r="E59">
        <v>500000</v>
      </c>
      <c r="F59" t="s">
        <v>8</v>
      </c>
      <c r="G59">
        <v>0.05</v>
      </c>
      <c r="H59">
        <v>400000</v>
      </c>
    </row>
    <row r="60" spans="2:8" x14ac:dyDescent="0.3">
      <c r="B60">
        <v>57</v>
      </c>
      <c r="C60">
        <v>2026</v>
      </c>
      <c r="D60">
        <v>1200000</v>
      </c>
      <c r="E60">
        <v>650000</v>
      </c>
      <c r="F60" t="s">
        <v>4</v>
      </c>
      <c r="G60">
        <v>7.0000000000000007E-2</v>
      </c>
      <c r="H60">
        <v>550000</v>
      </c>
    </row>
    <row r="61" spans="2:8" x14ac:dyDescent="0.3">
      <c r="B61">
        <v>58</v>
      </c>
      <c r="C61">
        <v>2026</v>
      </c>
      <c r="D61">
        <v>1300000</v>
      </c>
      <c r="E61">
        <v>820000</v>
      </c>
      <c r="F61" t="s">
        <v>3</v>
      </c>
      <c r="G61">
        <v>0.08</v>
      </c>
      <c r="H61">
        <v>480000</v>
      </c>
    </row>
    <row r="62" spans="2:8" x14ac:dyDescent="0.3">
      <c r="B62">
        <v>59</v>
      </c>
      <c r="C62">
        <v>2026</v>
      </c>
      <c r="D62">
        <v>1150000</v>
      </c>
      <c r="E62">
        <v>700000</v>
      </c>
      <c r="F62" t="s">
        <v>3</v>
      </c>
      <c r="G62">
        <v>0.05</v>
      </c>
      <c r="H62">
        <v>450000</v>
      </c>
    </row>
    <row r="63" spans="2:8" x14ac:dyDescent="0.3">
      <c r="B63">
        <v>60</v>
      </c>
      <c r="C63">
        <v>2026</v>
      </c>
      <c r="D63">
        <v>1500000</v>
      </c>
      <c r="E63">
        <v>950000</v>
      </c>
      <c r="F63" t="s">
        <v>6</v>
      </c>
      <c r="G63">
        <v>0.06</v>
      </c>
      <c r="H63">
        <v>550000</v>
      </c>
    </row>
    <row r="64" spans="2:8" x14ac:dyDescent="0.3">
      <c r="B64">
        <v>61</v>
      </c>
      <c r="C64">
        <v>2026</v>
      </c>
      <c r="D64">
        <v>1000000</v>
      </c>
      <c r="E64">
        <v>550000</v>
      </c>
      <c r="F64" t="s">
        <v>5</v>
      </c>
      <c r="G64">
        <v>0.04</v>
      </c>
      <c r="H64">
        <v>450000</v>
      </c>
    </row>
    <row r="65" spans="2:8" x14ac:dyDescent="0.3">
      <c r="B65">
        <v>62</v>
      </c>
      <c r="C65">
        <v>2026</v>
      </c>
      <c r="D65">
        <v>1600000</v>
      </c>
      <c r="E65">
        <v>1050000</v>
      </c>
      <c r="F65" t="s">
        <v>4</v>
      </c>
      <c r="G65">
        <v>0.05</v>
      </c>
      <c r="H65">
        <v>550000</v>
      </c>
    </row>
    <row r="66" spans="2:8" x14ac:dyDescent="0.3">
      <c r="B66">
        <v>63</v>
      </c>
      <c r="C66">
        <v>2027</v>
      </c>
      <c r="D66">
        <v>1050000</v>
      </c>
      <c r="E66">
        <v>650000</v>
      </c>
      <c r="F66" t="s">
        <v>3</v>
      </c>
      <c r="G66">
        <v>0.06</v>
      </c>
      <c r="H66">
        <v>400000</v>
      </c>
    </row>
    <row r="67" spans="2:8" x14ac:dyDescent="0.3">
      <c r="B67">
        <v>64</v>
      </c>
      <c r="C67">
        <v>2027</v>
      </c>
      <c r="D67">
        <v>1250000</v>
      </c>
      <c r="E67">
        <v>780000</v>
      </c>
      <c r="F67" t="s">
        <v>4</v>
      </c>
      <c r="G67">
        <v>7.0000000000000007E-2</v>
      </c>
      <c r="H67">
        <v>470000</v>
      </c>
    </row>
    <row r="68" spans="2:8" x14ac:dyDescent="0.3">
      <c r="B68">
        <v>65</v>
      </c>
      <c r="C68">
        <v>2027</v>
      </c>
      <c r="D68">
        <v>1350000</v>
      </c>
      <c r="E68">
        <v>900000</v>
      </c>
      <c r="F68" t="s">
        <v>4</v>
      </c>
      <c r="G68">
        <v>0.03</v>
      </c>
      <c r="H68">
        <v>450000</v>
      </c>
    </row>
    <row r="69" spans="2:8" x14ac:dyDescent="0.3">
      <c r="B69">
        <v>66</v>
      </c>
      <c r="C69">
        <v>2027</v>
      </c>
      <c r="D69">
        <v>1500000</v>
      </c>
      <c r="E69">
        <v>1000000</v>
      </c>
      <c r="F69" t="s">
        <v>6</v>
      </c>
      <c r="G69">
        <v>0.02</v>
      </c>
      <c r="H69">
        <v>500000</v>
      </c>
    </row>
    <row r="70" spans="2:8" x14ac:dyDescent="0.3">
      <c r="B70">
        <v>67</v>
      </c>
      <c r="C70">
        <v>2027</v>
      </c>
      <c r="D70">
        <v>1150000</v>
      </c>
      <c r="E70">
        <v>700000</v>
      </c>
      <c r="F70" t="s">
        <v>3</v>
      </c>
      <c r="G70">
        <v>0.08</v>
      </c>
      <c r="H70">
        <v>450000</v>
      </c>
    </row>
    <row r="71" spans="2:8" x14ac:dyDescent="0.3">
      <c r="B71">
        <v>68</v>
      </c>
      <c r="C71">
        <v>2027</v>
      </c>
      <c r="D71">
        <v>2000000</v>
      </c>
      <c r="E71">
        <v>1400000</v>
      </c>
      <c r="F71" t="s">
        <v>7</v>
      </c>
      <c r="G71">
        <v>0.04</v>
      </c>
      <c r="H71">
        <v>600000</v>
      </c>
    </row>
    <row r="72" spans="2:8" x14ac:dyDescent="0.3">
      <c r="B72">
        <v>69</v>
      </c>
      <c r="C72">
        <v>2027</v>
      </c>
      <c r="D72">
        <v>950000</v>
      </c>
      <c r="E72">
        <v>550000</v>
      </c>
      <c r="F72" t="s">
        <v>5</v>
      </c>
      <c r="G72">
        <v>0.05</v>
      </c>
      <c r="H72">
        <v>400000</v>
      </c>
    </row>
    <row r="73" spans="2:8" x14ac:dyDescent="0.3">
      <c r="B73">
        <v>70</v>
      </c>
      <c r="C73">
        <v>2027</v>
      </c>
      <c r="D73">
        <v>1800000</v>
      </c>
      <c r="E73">
        <v>1200000</v>
      </c>
      <c r="F73" t="s">
        <v>6</v>
      </c>
      <c r="G73">
        <v>0.03</v>
      </c>
      <c r="H73">
        <v>600000</v>
      </c>
    </row>
    <row r="74" spans="2:8" x14ac:dyDescent="0.3">
      <c r="B74">
        <v>71</v>
      </c>
      <c r="C74">
        <v>2027</v>
      </c>
      <c r="D74">
        <v>1000000</v>
      </c>
      <c r="E74">
        <v>600000</v>
      </c>
      <c r="F74" t="s">
        <v>5</v>
      </c>
      <c r="G74">
        <v>0.06</v>
      </c>
      <c r="H74">
        <v>400000</v>
      </c>
    </row>
    <row r="75" spans="2:8" x14ac:dyDescent="0.3">
      <c r="B75">
        <v>72</v>
      </c>
      <c r="C75">
        <v>2027</v>
      </c>
      <c r="D75">
        <v>900000</v>
      </c>
      <c r="E75">
        <v>520000</v>
      </c>
      <c r="F75" t="s">
        <v>8</v>
      </c>
      <c r="G75">
        <v>0.1</v>
      </c>
      <c r="H75">
        <v>380000</v>
      </c>
    </row>
    <row r="76" spans="2:8" x14ac:dyDescent="0.3">
      <c r="B76">
        <v>73</v>
      </c>
      <c r="C76">
        <v>2027</v>
      </c>
      <c r="D76">
        <v>1100000</v>
      </c>
      <c r="E76">
        <v>750000</v>
      </c>
      <c r="F76" t="s">
        <v>3</v>
      </c>
      <c r="G76">
        <v>0.05</v>
      </c>
      <c r="H76">
        <v>350000</v>
      </c>
    </row>
    <row r="77" spans="2:8" x14ac:dyDescent="0.3">
      <c r="B77">
        <v>74</v>
      </c>
      <c r="C77">
        <v>2027</v>
      </c>
      <c r="D77">
        <v>1450000</v>
      </c>
      <c r="E77">
        <v>950000</v>
      </c>
      <c r="F77" t="s">
        <v>6</v>
      </c>
      <c r="G77">
        <v>0.02</v>
      </c>
      <c r="H77">
        <v>500000</v>
      </c>
    </row>
    <row r="78" spans="2:8" x14ac:dyDescent="0.3">
      <c r="B78">
        <v>75</v>
      </c>
      <c r="C78">
        <v>2027</v>
      </c>
      <c r="D78">
        <v>1250000</v>
      </c>
      <c r="E78">
        <v>850000</v>
      </c>
      <c r="F78" t="s">
        <v>4</v>
      </c>
      <c r="G78">
        <v>0.08</v>
      </c>
      <c r="H78">
        <v>400000</v>
      </c>
    </row>
    <row r="79" spans="2:8" x14ac:dyDescent="0.3">
      <c r="B79">
        <v>76</v>
      </c>
      <c r="C79">
        <v>2027</v>
      </c>
      <c r="D79">
        <v>1300000</v>
      </c>
      <c r="E79">
        <v>800000</v>
      </c>
      <c r="F79" t="s">
        <v>4</v>
      </c>
      <c r="G79">
        <v>0.06</v>
      </c>
      <c r="H79">
        <v>500000</v>
      </c>
    </row>
    <row r="80" spans="2:8" x14ac:dyDescent="0.3">
      <c r="B80">
        <v>77</v>
      </c>
      <c r="C80">
        <v>2027</v>
      </c>
      <c r="D80">
        <v>1600000</v>
      </c>
      <c r="E80">
        <v>1100000</v>
      </c>
      <c r="F80" t="s">
        <v>6</v>
      </c>
      <c r="G80">
        <v>0.03</v>
      </c>
      <c r="H80">
        <v>500000</v>
      </c>
    </row>
    <row r="81" spans="2:8" x14ac:dyDescent="0.3">
      <c r="B81">
        <v>78</v>
      </c>
      <c r="C81">
        <v>2027</v>
      </c>
      <c r="D81">
        <v>980000</v>
      </c>
      <c r="E81">
        <v>600000</v>
      </c>
      <c r="F81" t="s">
        <v>5</v>
      </c>
      <c r="G81">
        <v>0.09</v>
      </c>
      <c r="H81">
        <v>380000</v>
      </c>
    </row>
    <row r="82" spans="2:8" x14ac:dyDescent="0.3">
      <c r="B82">
        <v>79</v>
      </c>
      <c r="C82">
        <v>2027</v>
      </c>
      <c r="D82">
        <v>1400000</v>
      </c>
      <c r="E82">
        <v>900000</v>
      </c>
      <c r="F82" t="s">
        <v>4</v>
      </c>
      <c r="G82">
        <v>0.05</v>
      </c>
      <c r="H82">
        <v>500000</v>
      </c>
    </row>
    <row r="83" spans="2:8" x14ac:dyDescent="0.3">
      <c r="B83">
        <v>80</v>
      </c>
      <c r="C83">
        <v>2027</v>
      </c>
      <c r="D83">
        <v>1550000</v>
      </c>
      <c r="E83">
        <v>1050000</v>
      </c>
      <c r="F83" t="s">
        <v>6</v>
      </c>
      <c r="G83">
        <v>0.04</v>
      </c>
      <c r="H83">
        <v>500000</v>
      </c>
    </row>
    <row r="84" spans="2:8" x14ac:dyDescent="0.3">
      <c r="B84">
        <v>81</v>
      </c>
      <c r="C84">
        <v>2027</v>
      </c>
      <c r="D84">
        <v>950000</v>
      </c>
      <c r="E84">
        <v>500000</v>
      </c>
      <c r="F84" t="s">
        <v>5</v>
      </c>
      <c r="G84">
        <v>7.0000000000000007E-2</v>
      </c>
      <c r="H84">
        <v>450000</v>
      </c>
    </row>
    <row r="85" spans="2:8" x14ac:dyDescent="0.3">
      <c r="B85">
        <v>82</v>
      </c>
      <c r="C85">
        <v>2027</v>
      </c>
      <c r="D85">
        <v>1050000</v>
      </c>
      <c r="E85">
        <v>650000</v>
      </c>
      <c r="F85" t="s">
        <v>3</v>
      </c>
      <c r="G85">
        <v>0.06</v>
      </c>
      <c r="H85">
        <v>400000</v>
      </c>
    </row>
    <row r="86" spans="2:8" x14ac:dyDescent="0.3">
      <c r="B86">
        <v>83</v>
      </c>
      <c r="C86">
        <v>2027</v>
      </c>
      <c r="D86">
        <v>1800000</v>
      </c>
      <c r="E86">
        <v>1250000</v>
      </c>
      <c r="F86" t="s">
        <v>6</v>
      </c>
      <c r="G86">
        <v>0.02</v>
      </c>
      <c r="H86">
        <v>550000</v>
      </c>
    </row>
    <row r="87" spans="2:8" x14ac:dyDescent="0.3">
      <c r="B87">
        <v>84</v>
      </c>
      <c r="C87">
        <v>2027</v>
      </c>
      <c r="D87">
        <v>1150000</v>
      </c>
      <c r="E87">
        <v>650000</v>
      </c>
      <c r="F87" t="s">
        <v>4</v>
      </c>
      <c r="G87">
        <v>0.05</v>
      </c>
      <c r="H87">
        <v>500000</v>
      </c>
    </row>
    <row r="88" spans="2:8" x14ac:dyDescent="0.3">
      <c r="B88">
        <v>85</v>
      </c>
      <c r="C88">
        <v>2027</v>
      </c>
      <c r="D88">
        <v>2100000</v>
      </c>
      <c r="E88">
        <v>1400000</v>
      </c>
      <c r="F88" t="s">
        <v>7</v>
      </c>
      <c r="G88">
        <v>0.04</v>
      </c>
      <c r="H88">
        <v>700000</v>
      </c>
    </row>
    <row r="89" spans="2:8" x14ac:dyDescent="0.3">
      <c r="B89">
        <v>86</v>
      </c>
      <c r="C89">
        <v>2027</v>
      </c>
      <c r="D89">
        <v>1500000</v>
      </c>
      <c r="E89">
        <v>950000</v>
      </c>
      <c r="F89" t="s">
        <v>6</v>
      </c>
      <c r="G89">
        <v>0.03</v>
      </c>
      <c r="H89">
        <v>550000</v>
      </c>
    </row>
    <row r="90" spans="2:8" x14ac:dyDescent="0.3">
      <c r="B90">
        <v>87</v>
      </c>
      <c r="C90">
        <v>2027</v>
      </c>
      <c r="D90">
        <v>1000000</v>
      </c>
      <c r="E90">
        <v>680000</v>
      </c>
      <c r="F90" t="s">
        <v>5</v>
      </c>
      <c r="G90">
        <v>7.0000000000000007E-2</v>
      </c>
      <c r="H90">
        <v>320000</v>
      </c>
    </row>
    <row r="91" spans="2:8" x14ac:dyDescent="0.3">
      <c r="B91">
        <v>88</v>
      </c>
      <c r="C91">
        <v>2027</v>
      </c>
      <c r="D91">
        <v>1300000</v>
      </c>
      <c r="E91">
        <v>770000</v>
      </c>
      <c r="F91" t="s">
        <v>4</v>
      </c>
      <c r="G91">
        <v>0.08</v>
      </c>
      <c r="H91">
        <v>530000</v>
      </c>
    </row>
    <row r="92" spans="2:8" x14ac:dyDescent="0.3">
      <c r="B92">
        <v>89</v>
      </c>
      <c r="C92">
        <v>2027</v>
      </c>
      <c r="D92">
        <v>1400000</v>
      </c>
      <c r="E92">
        <v>840000</v>
      </c>
      <c r="F92" t="s">
        <v>6</v>
      </c>
      <c r="G92">
        <v>0.06</v>
      </c>
      <c r="H92">
        <v>560000</v>
      </c>
    </row>
    <row r="93" spans="2:8" x14ac:dyDescent="0.3">
      <c r="B93">
        <v>90</v>
      </c>
      <c r="C93">
        <v>2027</v>
      </c>
      <c r="D93">
        <v>1250000</v>
      </c>
      <c r="E93">
        <v>700000</v>
      </c>
      <c r="F93" t="s">
        <v>4</v>
      </c>
      <c r="G93">
        <v>0.05</v>
      </c>
      <c r="H93">
        <v>550000</v>
      </c>
    </row>
    <row r="94" spans="2:8" x14ac:dyDescent="0.3">
      <c r="B94">
        <v>91</v>
      </c>
      <c r="C94">
        <v>2027</v>
      </c>
      <c r="D94">
        <v>850000</v>
      </c>
      <c r="E94">
        <v>500000</v>
      </c>
      <c r="F94" t="s">
        <v>8</v>
      </c>
      <c r="G94">
        <v>0.1</v>
      </c>
      <c r="H94">
        <v>350000</v>
      </c>
    </row>
    <row r="95" spans="2:8" x14ac:dyDescent="0.3">
      <c r="B95">
        <v>92</v>
      </c>
      <c r="C95">
        <v>2027</v>
      </c>
      <c r="D95">
        <v>960000</v>
      </c>
      <c r="E95">
        <v>600000</v>
      </c>
      <c r="F95" t="s">
        <v>5</v>
      </c>
      <c r="G95">
        <v>0.08</v>
      </c>
      <c r="H95">
        <v>360000</v>
      </c>
    </row>
    <row r="96" spans="2:8" x14ac:dyDescent="0.3">
      <c r="B96">
        <v>93</v>
      </c>
      <c r="C96">
        <v>2027</v>
      </c>
      <c r="D96">
        <v>1750000</v>
      </c>
      <c r="E96">
        <v>1150000</v>
      </c>
      <c r="F96" t="s">
        <v>6</v>
      </c>
      <c r="G96">
        <v>0.04</v>
      </c>
      <c r="H96">
        <v>600000</v>
      </c>
    </row>
    <row r="97" spans="2:8" x14ac:dyDescent="0.3">
      <c r="B97">
        <v>94</v>
      </c>
      <c r="C97">
        <v>2027</v>
      </c>
      <c r="D97">
        <v>1400000</v>
      </c>
      <c r="E97">
        <v>900000</v>
      </c>
      <c r="F97" t="s">
        <v>4</v>
      </c>
      <c r="G97">
        <v>0.02</v>
      </c>
      <c r="H97">
        <v>500000</v>
      </c>
    </row>
    <row r="98" spans="2:8" x14ac:dyDescent="0.3">
      <c r="B98">
        <v>95</v>
      </c>
      <c r="C98">
        <v>2027</v>
      </c>
      <c r="D98">
        <v>1150000</v>
      </c>
      <c r="E98">
        <v>750000</v>
      </c>
      <c r="F98" t="s">
        <v>3</v>
      </c>
      <c r="G98">
        <v>0.06</v>
      </c>
      <c r="H98">
        <v>400000</v>
      </c>
    </row>
    <row r="99" spans="2:8" x14ac:dyDescent="0.3">
      <c r="B99">
        <v>96</v>
      </c>
      <c r="C99">
        <v>2027</v>
      </c>
      <c r="D99">
        <v>1900000</v>
      </c>
      <c r="E99">
        <v>1250000</v>
      </c>
      <c r="F99" t="s">
        <v>7</v>
      </c>
      <c r="G99">
        <v>0.03</v>
      </c>
      <c r="H99">
        <v>650000</v>
      </c>
    </row>
    <row r="100" spans="2:8" x14ac:dyDescent="0.3">
      <c r="B100">
        <v>97</v>
      </c>
      <c r="C100">
        <v>2027</v>
      </c>
      <c r="D100">
        <v>1450000</v>
      </c>
      <c r="E100">
        <v>950000</v>
      </c>
      <c r="F100" t="s">
        <v>4</v>
      </c>
      <c r="G100">
        <v>0.08</v>
      </c>
      <c r="H100">
        <v>500000</v>
      </c>
    </row>
    <row r="101" spans="2:8" x14ac:dyDescent="0.3">
      <c r="B101">
        <v>98</v>
      </c>
      <c r="C101">
        <v>2027</v>
      </c>
      <c r="D101">
        <v>1300000</v>
      </c>
      <c r="E101">
        <v>800000</v>
      </c>
      <c r="F101" t="s">
        <v>3</v>
      </c>
      <c r="G101">
        <v>0.09</v>
      </c>
      <c r="H101">
        <v>500000</v>
      </c>
    </row>
    <row r="102" spans="2:8" x14ac:dyDescent="0.3">
      <c r="B102">
        <v>99</v>
      </c>
      <c r="C102">
        <v>2027</v>
      </c>
      <c r="D102">
        <v>1600000</v>
      </c>
      <c r="E102">
        <v>1100000</v>
      </c>
      <c r="F102" t="s">
        <v>6</v>
      </c>
      <c r="G102">
        <v>0.05</v>
      </c>
      <c r="H102">
        <v>500000</v>
      </c>
    </row>
    <row r="103" spans="2:8" x14ac:dyDescent="0.3">
      <c r="B103">
        <v>100</v>
      </c>
      <c r="C103">
        <v>2027</v>
      </c>
      <c r="D103">
        <v>1050000</v>
      </c>
      <c r="E103">
        <v>650000</v>
      </c>
      <c r="F103" t="s">
        <v>3</v>
      </c>
      <c r="G103">
        <v>7.0000000000000007E-2</v>
      </c>
      <c r="H103">
        <v>400000</v>
      </c>
    </row>
  </sheetData>
  <conditionalFormatting sqref="L17:Q2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Preparation &amp; Cleaning</vt:lpstr>
      <vt:lpstr>Descriptive Analytics &amp; Diagnos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M</dc:creator>
  <cp:lastModifiedBy>Christian M</cp:lastModifiedBy>
  <dcterms:created xsi:type="dcterms:W3CDTF">2025-05-07T17:44:54Z</dcterms:created>
  <dcterms:modified xsi:type="dcterms:W3CDTF">2025-05-08T05:47:29Z</dcterms:modified>
</cp:coreProperties>
</file>