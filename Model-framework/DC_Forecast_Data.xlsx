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4c9718412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_Operations" sheetId="1" r:id="Rbe7c6152a0c44a42"/>
    <x:sheet xmlns:r="http://schemas.openxmlformats.org/officeDocument/2006/relationships" name="Historical_Costs" sheetId="2" r:id="Rd445d1b05e064d70"/>
    <x:sheet xmlns:r="http://schemas.openxmlformats.org/officeDocument/2006/relationships" name="Forecast_Assumptions" sheetId="3" r:id="Rfce843f8210849c6"/>
    <x:sheet xmlns:r="http://schemas.openxmlformats.org/officeDocument/2006/relationships" name="Data_Dictionary" sheetId="4" r:id="R6760c70fc87c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-yy"/>
    <x:numFmt numFmtId="201" formatCode="#,##0;[Red](#,##0);-"/>
    <x:numFmt numFmtId="202" formatCode="0.0;[Red](0.0);-"/>
    <x:numFmt numFmtId="203" formatCode="€#,##0;[Red](€#,##0);-"/>
    <x:numFmt numFmtId="204" formatCode="0.0%"/>
    <x:numFmt numFmtId="205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200" fontId="2" fillId="0" borderId="2" xfId="0" applyNumberFormat="1" applyFont="1" applyFill="1" applyBorder="1"/>
    <x:xf numFmtId="200" fontId="2" fillId="0" borderId="5" xfId="0" applyNumberFormat="1" applyFont="1" applyFill="1" applyBorder="1"/>
    <x:xf numFmtId="200" fontId="2" fillId="0" borderId="7" xfId="0" applyNumberFormat="1" applyFont="1" applyFill="1" applyBorder="1"/>
    <x:xf numFmtId="200" fontId="2" fillId="0" borderId="10" xfId="0" applyNumberFormat="1" applyFont="1" applyFill="1" applyBorder="1"/>
    <x:xf numFmtId="200" fontId="2" fillId="0" borderId="13" xfId="0" applyNumberFormat="1" applyFont="1" applyFill="1" applyBorder="1"/>
    <x:xf numFmtId="200" fontId="2" fillId="0" borderId="15" xfId="0" applyNumberFormat="1" applyFont="1" applyFill="1" applyBorder="1"/>
    <x:xf numFmtId="201" fontId="2" fillId="0" borderId="3" xfId="0" applyNumberFormat="1" applyFont="1" applyFill="1" applyBorder="1"/>
    <x:xf numFmtId="201" fontId="2" fillId="0" borderId="4" xfId="0" applyNumberFormat="1" applyFont="1" applyFill="1" applyBorder="1"/>
    <x:xf numFmtId="201" fontId="2" fillId="0" borderId="0" xfId="0" applyNumberFormat="1" applyFont="1" applyFill="1" applyBorder="1"/>
    <x:xf numFmtId="201" fontId="2" fillId="0" borderId="6" xfId="0" applyNumberFormat="1" applyFont="1" applyFill="1" applyBorder="1"/>
    <x:xf numFmtId="201" fontId="2" fillId="0" borderId="8" xfId="0" applyNumberFormat="1" applyFont="1" applyFill="1" applyBorder="1"/>
    <x:xf numFmtId="201" fontId="2" fillId="0" borderId="9" xfId="0" applyNumberFormat="1" applyFont="1" applyFill="1" applyBorder="1"/>
    <x:xf numFmtId="201" fontId="2" fillId="0" borderId="11" xfId="0" applyNumberFormat="1" applyFont="1" applyFill="1" applyBorder="1"/>
    <x:xf numFmtId="201" fontId="2" fillId="0" borderId="12" xfId="0" applyNumberFormat="1" applyFont="1" applyFill="1" applyBorder="1"/>
    <x:xf numFmtId="201" fontId="2" fillId="0" borderId="1" xfId="0" applyNumberFormat="1" applyFont="1" applyFill="1" applyBorder="1"/>
    <x:xf numFmtId="201" fontId="2" fillId="0" borderId="14" xfId="0" applyNumberFormat="1" applyFont="1" applyFill="1" applyBorder="1"/>
    <x:xf numFmtId="201" fontId="2" fillId="0" borderId="16" xfId="0" applyNumberFormat="1" applyFont="1" applyFill="1" applyBorder="1"/>
    <x:xf numFmtId="201" fontId="2" fillId="0" borderId="17" xfId="0" applyNumberFormat="1" applyFont="1" applyFill="1" applyBorder="1"/>
    <x:xf numFmtId="202" fontId="2" fillId="0" borderId="3" xfId="0" applyNumberFormat="1" applyFont="1" applyFill="1" applyBorder="1"/>
    <x:xf numFmtId="202" fontId="2" fillId="0" borderId="0" xfId="0" applyNumberFormat="1" applyFont="1" applyFill="1" applyBorder="1"/>
    <x:xf numFmtId="202" fontId="2" fillId="0" borderId="8" xfId="0" applyNumberFormat="1" applyFont="1" applyFill="1" applyBorder="1"/>
    <x:xf numFmtId="202" fontId="2" fillId="0" borderId="11" xfId="0" applyNumberFormat="1" applyFont="1" applyFill="1" applyBorder="1"/>
    <x:xf numFmtId="202" fontId="2" fillId="0" borderId="1" xfId="0" applyNumberFormat="1" applyFont="1" applyFill="1" applyBorder="1"/>
    <x:xf numFmtId="202" fontId="2" fillId="0" borderId="16" xfId="0" applyNumberFormat="1" applyFont="1" applyFill="1" applyBorder="1"/>
    <x:xf numFmtId="203" fontId="2" fillId="0" borderId="3" xfId="0" applyNumberFormat="1" applyFont="1" applyFill="1" applyBorder="1"/>
    <x:xf numFmtId="203" fontId="2" fillId="0" borderId="4" xfId="0" applyNumberFormat="1" applyFont="1" applyFill="1" applyBorder="1"/>
    <x:xf numFmtId="203" fontId="2" fillId="0" borderId="0" xfId="0" applyNumberFormat="1" applyFont="1" applyFill="1" applyBorder="1"/>
    <x:xf numFmtId="203" fontId="2" fillId="0" borderId="6" xfId="0" applyNumberFormat="1" applyFont="1" applyFill="1" applyBorder="1"/>
    <x:xf numFmtId="203" fontId="2" fillId="0" borderId="8" xfId="0" applyNumberFormat="1" applyFont="1" applyFill="1" applyBorder="1"/>
    <x:xf numFmtId="203" fontId="2" fillId="0" borderId="9" xfId="0" applyNumberFormat="1" applyFont="1" applyFill="1" applyBorder="1"/>
    <x:xf numFmtId="203" fontId="2" fillId="0" borderId="11" xfId="0" applyNumberFormat="1" applyFont="1" applyFill="1" applyBorder="1"/>
    <x:xf numFmtId="203" fontId="2" fillId="0" borderId="12" xfId="0" applyNumberFormat="1" applyFont="1" applyFill="1" applyBorder="1"/>
    <x:xf numFmtId="203" fontId="2" fillId="0" borderId="1" xfId="0" applyNumberFormat="1" applyFont="1" applyFill="1" applyBorder="1"/>
    <x:xf numFmtId="203" fontId="2" fillId="0" borderId="14" xfId="0" applyNumberFormat="1" applyFont="1" applyFill="1" applyBorder="1"/>
    <x:xf numFmtId="203" fontId="2" fillId="0" borderId="16" xfId="0" applyNumberFormat="1" applyFont="1" applyFill="1" applyBorder="1"/>
    <x:xf numFmtId="203" fontId="2" fillId="0" borderId="17" xfId="0" applyNumberFormat="1" applyFont="1" applyFill="1" applyBorder="1"/>
    <x:xf numFmtId="204" fontId="2" fillId="0" borderId="3" xfId="0" applyNumberFormat="1" applyFont="1" applyFill="1" applyBorder="1"/>
    <x:xf numFmtId="204" fontId="2" fillId="0" borderId="0" xfId="0" applyNumberFormat="1" applyFont="1" applyFill="1" applyBorder="1"/>
    <x:xf numFmtId="204" fontId="2" fillId="0" borderId="8" xfId="0" applyNumberFormat="1" applyFont="1" applyFill="1" applyBorder="1"/>
    <x:xf numFmtId="204" fontId="2" fillId="0" borderId="11" xfId="0" applyNumberFormat="1" applyFont="1" applyFill="1" applyBorder="1"/>
    <x:xf numFmtId="204" fontId="2" fillId="0" borderId="1" xfId="0" applyNumberFormat="1" applyFont="1" applyFill="1" applyBorder="1"/>
    <x:xf numFmtId="204" fontId="2" fillId="0" borderId="16" xfId="0" applyNumberFormat="1" applyFont="1" applyFill="1" applyBorder="1"/>
    <x:xf numFmtId="205" fontId="2" fillId="0" borderId="3" xfId="0" applyNumberFormat="1" applyFont="1" applyFill="1" applyBorder="1"/>
    <x:xf numFmtId="205" fontId="2" fillId="0" borderId="0" xfId="0" applyNumberFormat="1" applyFont="1" applyFill="1" applyBorder="1"/>
    <x:xf numFmtId="205" fontId="2" fillId="0" borderId="8" xfId="0" applyNumberFormat="1" applyFont="1" applyFill="1" applyBorder="1"/>
    <x:xf numFmtId="205" fontId="2" fillId="0" borderId="11" xfId="0" applyNumberFormat="1" applyFont="1" applyFill="1" applyBorder="1"/>
    <x:xf numFmtId="205" fontId="2" fillId="0" borderId="1" xfId="0" applyNumberFormat="1" applyFont="1" applyFill="1" applyBorder="1"/>
    <x:xf numFmtId="205" fontId="2" fillId="0" borderId="16" xfId="0" applyNumberFormat="1" applyFont="1" applyFill="1" applyBorder="1"/>
    <x:xf numFmtId="204" fontId="2" fillId="3" borderId="3" xfId="0" applyNumberFormat="1" applyFont="1" applyFill="1" applyBorder="1"/>
    <x:xf numFmtId="205" fontId="2" fillId="3" borderId="3" xfId="0" applyNumberFormat="1" applyFont="1" applyFill="1" applyBorder="1"/>
    <x:xf numFmtId="201" fontId="2" fillId="3" borderId="3" xfId="0" applyNumberFormat="1" applyFont="1" applyFill="1" applyBorder="1"/>
    <x:xf numFmtId="201" fontId="2" fillId="3" borderId="4" xfId="0" applyNumberFormat="1" applyFont="1" applyFill="1" applyBorder="1"/>
    <x:xf numFmtId="204" fontId="2" fillId="3" borderId="0" xfId="0" applyNumberFormat="1" applyFont="1" applyFill="1" applyBorder="1"/>
    <x:xf numFmtId="205" fontId="2" fillId="3" borderId="0" xfId="0" applyNumberFormat="1" applyFont="1" applyFill="1" applyBorder="1"/>
    <x:xf numFmtId="201" fontId="2" fillId="3" borderId="0" xfId="0" applyNumberFormat="1" applyFont="1" applyFill="1" applyBorder="1"/>
    <x:xf numFmtId="201" fontId="2" fillId="3" borderId="6" xfId="0" applyNumberFormat="1" applyFont="1" applyFill="1" applyBorder="1"/>
    <x:xf numFmtId="204" fontId="2" fillId="3" borderId="8" xfId="0" applyNumberFormat="1" applyFont="1" applyFill="1" applyBorder="1"/>
    <x:xf numFmtId="205" fontId="2" fillId="3" borderId="8" xfId="0" applyNumberFormat="1" applyFont="1" applyFill="1" applyBorder="1"/>
    <x:xf numFmtId="201" fontId="2" fillId="3" borderId="8" xfId="0" applyNumberFormat="1" applyFont="1" applyFill="1" applyBorder="1"/>
    <x:xf numFmtId="201" fontId="2" fillId="3" borderId="9" xfId="0" applyNumberFormat="1" applyFont="1" applyFill="1" applyBorder="1"/>
    <x:xf numFmtId="204" fontId="2" fillId="3" borderId="11" xfId="0" applyNumberFormat="1" applyFont="1" applyFill="1" applyBorder="1"/>
    <x:xf numFmtId="205" fontId="2" fillId="3" borderId="11" xfId="0" applyNumberFormat="1" applyFont="1" applyFill="1" applyBorder="1"/>
    <x:xf numFmtId="201" fontId="2" fillId="3" borderId="11" xfId="0" applyNumberFormat="1" applyFont="1" applyFill="1" applyBorder="1"/>
    <x:xf numFmtId="201" fontId="2" fillId="3" borderId="12" xfId="0" applyNumberFormat="1" applyFont="1" applyFill="1" applyBorder="1"/>
    <x:xf numFmtId="204" fontId="2" fillId="3" borderId="1" xfId="0" applyNumberFormat="1" applyFont="1" applyFill="1" applyBorder="1"/>
    <x:xf numFmtId="205" fontId="2" fillId="3" borderId="1" xfId="0" applyNumberFormat="1" applyFont="1" applyFill="1" applyBorder="1"/>
    <x:xf numFmtId="201" fontId="2" fillId="3" borderId="1" xfId="0" applyNumberFormat="1" applyFont="1" applyFill="1" applyBorder="1"/>
    <x:xf numFmtId="201" fontId="2" fillId="3" borderId="14" xfId="0" applyNumberFormat="1" applyFont="1" applyFill="1" applyBorder="1"/>
    <x:xf numFmtId="204" fontId="2" fillId="3" borderId="16" xfId="0" applyNumberFormat="1" applyFont="1" applyFill="1" applyBorder="1"/>
    <x:xf numFmtId="205" fontId="2" fillId="3" borderId="16" xfId="0" applyNumberFormat="1" applyFont="1" applyFill="1" applyBorder="1"/>
    <x:xf numFmtId="201" fontId="2" fillId="3" borderId="16" xfId="0" applyNumberFormat="1" applyFont="1" applyFill="1" applyBorder="1"/>
    <x:xf numFmtId="201" fontId="2" fillId="3" borderId="17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/>
    <x:xf numFmtId="0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38c582f854aee" /><Relationship Type="http://schemas.openxmlformats.org/officeDocument/2006/relationships/theme" Target="/xl/theme/theme1.xml" Id="R60e996483a79415d" /><Relationship Type="http://schemas.openxmlformats.org/officeDocument/2006/relationships/sharedStrings" Target="/xl/sharedStrings.xml" Id="R1bc846fa7f7b47a9" /><Relationship Type="http://schemas.openxmlformats.org/officeDocument/2006/relationships/worksheet" Target="/xl/worksheets/sheet1.xml" Id="Rbe7c6152a0c44a42" /><Relationship Type="http://schemas.openxmlformats.org/officeDocument/2006/relationships/worksheet" Target="/xl/worksheets/sheet2.xml" Id="Rd445d1b05e064d70" /><Relationship Type="http://schemas.openxmlformats.org/officeDocument/2006/relationships/worksheet" Target="/xl/worksheets/sheet3.xml" Id="Rfce843f8210849c6" /><Relationship Type="http://schemas.openxmlformats.org/officeDocument/2006/relationships/worksheet" Target="/xl/worksheets/sheet4.xml" Id="R6760c70fc87c498a" /></Relationships>
</file>

<file path=xl/tables/table1.xml><?xml version="1.0" encoding="utf-8"?>
<x:table xmlns:x="http://schemas.openxmlformats.org/spreadsheetml/2006/main" id="1" name="HistoricalOperationsTable" displayName="HistoricalOperationsTable" ref="A1:H25" headerRowCount="1">
  <x:tableColumns count="8">
    <x:tableColumn id="1" name="Month"/>
    <x:tableColumn id="2" name="Cases_Received"/>
    <x:tableColumn id="3" name="Cases_Shipped"/>
    <x:tableColumn id="4" name="Pallets_Stored"/>
    <x:tableColumn id="5" name="Labour_Hours"/>
    <x:tableColumn id="6" name="FTE_Count"/>
    <x:tableColumn id="7" name="Overtime_Hours"/>
    <x:tableColumn id="8" name="Transport_Loads"/>
  </x:tableColumns>
  <x:tableStyleInfo name="TableStyleMedium2" showRowStripes="1"/>
</x:table>
</file>

<file path=xl/tables/table2.xml><?xml version="1.0" encoding="utf-8"?>
<x:table xmlns:x="http://schemas.openxmlformats.org/spreadsheetml/2006/main" id="2" name="HistoricalCostsTable" displayName="HistoricalCostsTable" ref="A1:I25" headerRowCount="1">
  <x:tableColumns count="9">
    <x:tableColumn id="1" name="Month"/>
    <x:tableColumn id="2" name="Permanent_Labour_Cost_EUR"/>
    <x:tableColumn id="3" name="Temporary_Labour_Cost_EUR"/>
    <x:tableColumn id="4" name="Overtime_Cost_EUR"/>
    <x:tableColumn id="5" name="Energy_Cost_EUR"/>
    <x:tableColumn id="6" name="Maintenance_Cost_EUR"/>
    <x:tableColumn id="7" name="Rent_Cost_EUR"/>
    <x:tableColumn id="8" name="Transport_Cost_EUR"/>
    <x:tableColumn id="9" name="Other_Cost_EUR"/>
  </x:tableColumns>
  <x:tableStyleInfo name="TableStyleMedium2" showRowStripes="1"/>
</x:table>
</file>

<file path=xl/tables/table3.xml><?xml version="1.0" encoding="utf-8"?>
<x:table xmlns:x="http://schemas.openxmlformats.org/spreadsheetml/2006/main" id="3" name="ForecastAssumptionsTable" displayName="ForecastAssumptionsTable" ref="A1:I13" headerRowCount="1">
  <x:tableColumns count="9">
    <x:tableColumn id="1" name="Month"/>
    <x:tableColumn id="2" name="Forecast_Cases_Shipped"/>
    <x:tableColumn id="3" name="Forecast_Cases_Received"/>
    <x:tableColumn id="4" name="Salary_Inflation_Percent"/>
    <x:tableColumn id="5" name="Energy_Inflation_Percent"/>
    <x:tableColumn id="6" name="Transport_Inflation_Percent"/>
    <x:tableColumn id="7" name="Productivity_Cases_Per_Hour"/>
    <x:tableColumn id="8" name="Maximum_Pallet_Capacity"/>
    <x:tableColumn id="9" name="Average_Cases_Per_Pallet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C26" headerRowCount="1">
  <x:tableColumns count="3">
    <x:tableColumn id="1" name="Sheet"/>
    <x:tableColumn id="2" name="Field"/>
    <x:tableColumn id="3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51d99a86a742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61045ea94a43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aa6029616b4b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50b397055a4f7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6" hidden="0" customWidth="1"/>
    <x:col min="5" max="5" width="15" hidden="0" customWidth="1"/>
    <x:col min="6" max="6" width="12" hidden="0" customWidth="1"/>
    <x:col min="7" max="7" width="16" hidden="0" customWidth="1"/>
    <x:col min="8" max="8" width="17" hidden="0" customWidth="1"/>
  </x:cols>
  <x:sheetData>
    <x:row r="1" ht="34" customHeight="1">
      <x:c r="A1" s="6" t="str">
        <x:v>Month</x:v>
      </x:c>
      <x:c r="B1" s="6" t="str">
        <x:v>Cases_Received</x:v>
      </x:c>
      <x:c r="C1" s="6" t="str">
        <x:v>Cases_Shipped</x:v>
      </x:c>
      <x:c r="D1" s="6" t="str">
        <x:v>Pallets_Stored</x:v>
      </x:c>
      <x:c r="E1" s="6" t="str">
        <x:v>Labour_Hours</x:v>
      </x:c>
      <x:c r="F1" s="6" t="str">
        <x:v>FTE_Count</x:v>
      </x:c>
      <x:c r="G1" s="6" t="str">
        <x:v>Overtime_Hours</x:v>
      </x:c>
      <x:c r="H1" s="6" t="str">
        <x:v>Transport_Loads</x:v>
      </x:c>
    </x:row>
    <x:row r="2">
      <x:c r="A2" s="30" t="n">
        <x:v>45292</x:v>
      </x:c>
      <x:c r="B2" s="36" t="n">
        <x:v>998337</x:v>
      </x:c>
      <x:c r="C2" s="36" t="n">
        <x:v>1021010</x:v>
      </x:c>
      <x:c r="D2" s="36" t="n">
        <x:v>3710</x:v>
      </x:c>
      <x:c r="E2" s="36" t="n">
        <x:v>45178</x:v>
      </x:c>
      <x:c r="F2" s="48" t="n">
        <x:v>273.8</x:v>
      </x:c>
      <x:c r="G2" s="36" t="n">
        <x:v>27112</x:v>
      </x:c>
      <x:c r="H2" s="37" t="n">
        <x:v>990</x:v>
      </x:c>
    </x:row>
    <x:row r="3">
      <x:c r="A3" s="31" t="n">
        <x:v>45323</x:v>
      </x:c>
      <x:c r="B3" s="38" t="n">
        <x:v>1034652</x:v>
      </x:c>
      <x:c r="C3" s="38" t="n">
        <x:v>1051563</x:v>
      </x:c>
      <x:c r="D3" s="38" t="n">
        <x:v>4105</x:v>
      </x:c>
      <x:c r="E3" s="38" t="n">
        <x:v>46255</x:v>
      </x:c>
      <x:c r="F3" s="49" t="n">
        <x:v>280.3</x:v>
      </x:c>
      <x:c r="G3" s="38" t="n">
        <x:v>28369</x:v>
      </x:c>
      <x:c r="H3" s="39" t="n">
        <x:v>1008</x:v>
      </x:c>
    </x:row>
    <x:row r="4">
      <x:c r="A4" s="31" t="n">
        <x:v>45352</x:v>
      </x:c>
      <x:c r="B4" s="38" t="n">
        <x:v>1007931</x:v>
      </x:c>
      <x:c r="C4" s="38" t="n">
        <x:v>1032196</x:v>
      </x:c>
      <x:c r="D4" s="38" t="n">
        <x:v>4484</x:v>
      </x:c>
      <x:c r="E4" s="38" t="n">
        <x:v>43390</x:v>
      </x:c>
      <x:c r="F4" s="49" t="n">
        <x:v>263</x:v>
      </x:c>
      <x:c r="G4" s="38" t="n">
        <x:v>25264</x:v>
      </x:c>
      <x:c r="H4" s="39" t="n">
        <x:v>997</x:v>
      </x:c>
    </x:row>
    <x:row r="5">
      <x:c r="A5" s="31" t="n">
        <x:v>45383</x:v>
      </x:c>
      <x:c r="B5" s="38" t="n">
        <x:v>1107483</x:v>
      </x:c>
      <x:c r="C5" s="38" t="n">
        <x:v>1096068</x:v>
      </x:c>
      <x:c r="D5" s="38" t="n">
        <x:v>3975</x:v>
      </x:c>
      <x:c r="E5" s="38" t="n">
        <x:v>48816</x:v>
      </x:c>
      <x:c r="F5" s="49" t="n">
        <x:v>295.9</x:v>
      </x:c>
      <x:c r="G5" s="38" t="n">
        <x:v>30942</x:v>
      </x:c>
      <x:c r="H5" s="39" t="n">
        <x:v>1035</x:v>
      </x:c>
    </x:row>
    <x:row r="6">
      <x:c r="A6" s="31" t="n">
        <x:v>45413</x:v>
      </x:c>
      <x:c r="B6" s="38" t="n">
        <x:v>1105445</x:v>
      </x:c>
      <x:c r="C6" s="38" t="n">
        <x:v>1087060</x:v>
      </x:c>
      <x:c r="D6" s="38" t="n">
        <x:v>4471</x:v>
      </x:c>
      <x:c r="E6" s="38" t="n">
        <x:v>49429</x:v>
      </x:c>
      <x:c r="F6" s="49" t="n">
        <x:v>299.6</x:v>
      </x:c>
      <x:c r="G6" s="38" t="n">
        <x:v>31434</x:v>
      </x:c>
      <x:c r="H6" s="39" t="n">
        <x:v>1068</x:v>
      </x:c>
    </x:row>
    <x:row r="7">
      <x:c r="A7" s="31" t="n">
        <x:v>45444</x:v>
      </x:c>
      <x:c r="B7" s="38" t="n">
        <x:v>1041250</x:v>
      </x:c>
      <x:c r="C7" s="38" t="n">
        <x:v>1055999</x:v>
      </x:c>
      <x:c r="D7" s="38" t="n">
        <x:v>4242</x:v>
      </x:c>
      <x:c r="E7" s="38" t="n">
        <x:v>46257</x:v>
      </x:c>
      <x:c r="F7" s="49" t="n">
        <x:v>280.3</x:v>
      </x:c>
      <x:c r="G7" s="38" t="n">
        <x:v>28303</x:v>
      </x:c>
      <x:c r="H7" s="39" t="n">
        <x:v>1004</x:v>
      </x:c>
    </x:row>
    <x:row r="8">
      <x:c r="A8" s="31" t="n">
        <x:v>45474</x:v>
      </x:c>
      <x:c r="B8" s="38" t="n">
        <x:v>1032210</x:v>
      </x:c>
      <x:c r="C8" s="38" t="n">
        <x:v>1053518</x:v>
      </x:c>
      <x:c r="D8" s="38" t="n">
        <x:v>4050</x:v>
      </x:c>
      <x:c r="E8" s="38" t="n">
        <x:v>43694</x:v>
      </x:c>
      <x:c r="F8" s="49" t="n">
        <x:v>264.8</x:v>
      </x:c>
      <x:c r="G8" s="38" t="n">
        <x:v>25962</x:v>
      </x:c>
      <x:c r="H8" s="39" t="n">
        <x:v>1003</x:v>
      </x:c>
    </x:row>
    <x:row r="9">
      <x:c r="A9" s="31" t="n">
        <x:v>45505</x:v>
      </x:c>
      <x:c r="B9" s="38" t="n">
        <x:v>1011927</x:v>
      </x:c>
      <x:c r="C9" s="38" t="n">
        <x:v>998033</x:v>
      </x:c>
      <x:c r="D9" s="38" t="n">
        <x:v>3867</x:v>
      </x:c>
      <x:c r="E9" s="38" t="n">
        <x:v>45353</x:v>
      </x:c>
      <x:c r="F9" s="49" t="n">
        <x:v>274.9</x:v>
      </x:c>
      <x:c r="G9" s="38" t="n">
        <x:v>27573</x:v>
      </x:c>
      <x:c r="H9" s="39" t="n">
        <x:v>975</x:v>
      </x:c>
    </x:row>
    <x:row r="10">
      <x:c r="A10" s="31" t="n">
        <x:v>45536</x:v>
      </x:c>
      <x:c r="B10" s="38" t="n">
        <x:v>1030313</x:v>
      </x:c>
      <x:c r="C10" s="38" t="n">
        <x:v>1007581</x:v>
      </x:c>
      <x:c r="D10" s="38" t="n">
        <x:v>3888</x:v>
      </x:c>
      <x:c r="E10" s="38" t="n">
        <x:v>44821</x:v>
      </x:c>
      <x:c r="F10" s="49" t="n">
        <x:v>271.6</x:v>
      </x:c>
      <x:c r="G10" s="38" t="n">
        <x:v>26812</x:v>
      </x:c>
      <x:c r="H10" s="39" t="n">
        <x:v>997</x:v>
      </x:c>
    </x:row>
    <x:row r="11">
      <x:c r="A11" s="31" t="n">
        <x:v>45566</x:v>
      </x:c>
      <x:c r="B11" s="38" t="n">
        <x:v>1093162</x:v>
      </x:c>
      <x:c r="C11" s="38" t="n">
        <x:v>1103211</x:v>
      </x:c>
      <x:c r="D11" s="38" t="n">
        <x:v>4393</x:v>
      </x:c>
      <x:c r="E11" s="38" t="n">
        <x:v>49065</x:v>
      </x:c>
      <x:c r="F11" s="49" t="n">
        <x:v>297.4</x:v>
      </x:c>
      <x:c r="G11" s="38" t="n">
        <x:v>31060</x:v>
      </x:c>
      <x:c r="H11" s="39" t="n">
        <x:v>1083</x:v>
      </x:c>
    </x:row>
    <x:row r="12">
      <x:c r="A12" s="31" t="n">
        <x:v>45597</x:v>
      </x:c>
      <x:c r="B12" s="38" t="n">
        <x:v>1035423</x:v>
      </x:c>
      <x:c r="C12" s="38" t="n">
        <x:v>1049314</x:v>
      </x:c>
      <x:c r="D12" s="38" t="n">
        <x:v>4314</x:v>
      </x:c>
      <x:c r="E12" s="38" t="n">
        <x:v>46960</x:v>
      </x:c>
      <x:c r="F12" s="49" t="n">
        <x:v>284.6</x:v>
      </x:c>
      <x:c r="G12" s="38" t="n">
        <x:v>29287</x:v>
      </x:c>
      <x:c r="H12" s="39" t="n">
        <x:v>1006</x:v>
      </x:c>
    </x:row>
    <x:row r="13">
      <x:c r="A13" s="31" t="n">
        <x:v>45627</x:v>
      </x:c>
      <x:c r="B13" s="38" t="n">
        <x:v>1100340</x:v>
      </x:c>
      <x:c r="C13" s="38" t="n">
        <x:v>1100759</x:v>
      </x:c>
      <x:c r="D13" s="38" t="n">
        <x:v>4577</x:v>
      </x:c>
      <x:c r="E13" s="38" t="n">
        <x:v>46193</x:v>
      </x:c>
      <x:c r="F13" s="49" t="n">
        <x:v>280</x:v>
      </x:c>
      <x:c r="G13" s="38" t="n">
        <x:v>28228</x:v>
      </x:c>
      <x:c r="H13" s="39" t="n">
        <x:v>1064</x:v>
      </x:c>
    </x:row>
    <x:row r="14">
      <x:c r="A14" s="31" t="n">
        <x:v>45658</x:v>
      </x:c>
      <x:c r="B14" s="38" t="n">
        <x:v>1005832</x:v>
      </x:c>
      <x:c r="C14" s="38" t="n">
        <x:v>1035369</x:v>
      </x:c>
      <x:c r="D14" s="38" t="n">
        <x:v>4064</x:v>
      </x:c>
      <x:c r="E14" s="38" t="n">
        <x:v>46353</x:v>
      </x:c>
      <x:c r="F14" s="49" t="n">
        <x:v>280.9</x:v>
      </x:c>
      <x:c r="G14" s="38" t="n">
        <x:v>28243</x:v>
      </x:c>
      <x:c r="H14" s="39" t="n">
        <x:v>1045</x:v>
      </x:c>
    </x:row>
    <x:row r="15">
      <x:c r="A15" s="31" t="n">
        <x:v>45689</x:v>
      </x:c>
      <x:c r="B15" s="38" t="n">
        <x:v>1120408</x:v>
      </x:c>
      <x:c r="C15" s="38" t="n">
        <x:v>1108947</x:v>
      </x:c>
      <x:c r="D15" s="38" t="n">
        <x:v>4588</x:v>
      </x:c>
      <x:c r="E15" s="38" t="n">
        <x:v>48427</x:v>
      </x:c>
      <x:c r="F15" s="49" t="n">
        <x:v>293.5</x:v>
      </x:c>
      <x:c r="G15" s="38" t="n">
        <x:v>30353</x:v>
      </x:c>
      <x:c r="H15" s="39" t="n">
        <x:v>1133</x:v>
      </x:c>
    </x:row>
    <x:row r="16">
      <x:c r="A16" s="31" t="n">
        <x:v>45717</x:v>
      </x:c>
      <x:c r="B16" s="38" t="n">
        <x:v>1083117</x:v>
      </x:c>
      <x:c r="C16" s="38" t="n">
        <x:v>1085088</x:v>
      </x:c>
      <x:c r="D16" s="38" t="n">
        <x:v>4700</x:v>
      </x:c>
      <x:c r="E16" s="38" t="n">
        <x:v>47923</x:v>
      </x:c>
      <x:c r="F16" s="49" t="n">
        <x:v>290.4</x:v>
      </x:c>
      <x:c r="G16" s="38" t="n">
        <x:v>29947</x:v>
      </x:c>
      <x:c r="H16" s="39" t="n">
        <x:v>1066</x:v>
      </x:c>
    </x:row>
    <x:row r="17">
      <x:c r="A17" s="31" t="n">
        <x:v>45748</x:v>
      </x:c>
      <x:c r="B17" s="38" t="n">
        <x:v>1153455</x:v>
      </x:c>
      <x:c r="C17" s="38" t="n">
        <x:v>1180786</x:v>
      </x:c>
      <x:c r="D17" s="38" t="n">
        <x:v>4572</x:v>
      </x:c>
      <x:c r="E17" s="38" t="n">
        <x:v>52962</x:v>
      </x:c>
      <x:c r="F17" s="49" t="n">
        <x:v>321</x:v>
      </x:c>
      <x:c r="G17" s="38" t="n">
        <x:v>34887</x:v>
      </x:c>
      <x:c r="H17" s="39" t="n">
        <x:v>1121</x:v>
      </x:c>
    </x:row>
    <x:row r="18">
      <x:c r="A18" s="31" t="n">
        <x:v>45778</x:v>
      </x:c>
      <x:c r="B18" s="38" t="n">
        <x:v>1164137</x:v>
      </x:c>
      <x:c r="C18" s="38" t="n">
        <x:v>1120470</x:v>
      </x:c>
      <x:c r="D18" s="38" t="n">
        <x:v>5026</x:v>
      </x:c>
      <x:c r="E18" s="38" t="n">
        <x:v>49370</x:v>
      </x:c>
      <x:c r="F18" s="49" t="n">
        <x:v>299.2</x:v>
      </x:c>
      <x:c r="G18" s="38" t="n">
        <x:v>31633</x:v>
      </x:c>
      <x:c r="H18" s="39" t="n">
        <x:v>1085</x:v>
      </x:c>
    </x:row>
    <x:row r="19">
      <x:c r="A19" s="31" t="n">
        <x:v>45809</x:v>
      </x:c>
      <x:c r="B19" s="38" t="n">
        <x:v>1210038</x:v>
      </x:c>
      <x:c r="C19" s="38" t="n">
        <x:v>1184568</x:v>
      </x:c>
      <x:c r="D19" s="38" t="n">
        <x:v>4911</x:v>
      </x:c>
      <x:c r="E19" s="38" t="n">
        <x:v>54115</x:v>
      </x:c>
      <x:c r="F19" s="49" t="n">
        <x:v>328</x:v>
      </x:c>
      <x:c r="G19" s="38" t="n">
        <x:v>36433</x:v>
      </x:c>
      <x:c r="H19" s="39" t="n">
        <x:v>1167</x:v>
      </x:c>
    </x:row>
    <x:row r="20">
      <x:c r="A20" s="31" t="n">
        <x:v>45839</x:v>
      </x:c>
      <x:c r="B20" s="38" t="n">
        <x:v>1106049</x:v>
      </x:c>
      <x:c r="C20" s="38" t="n">
        <x:v>1107972</x:v>
      </x:c>
      <x:c r="D20" s="38" t="n">
        <x:v>4274</x:v>
      </x:c>
      <x:c r="E20" s="38" t="n">
        <x:v>47213</x:v>
      </x:c>
      <x:c r="F20" s="49" t="n">
        <x:v>286.1</x:v>
      </x:c>
      <x:c r="G20" s="38" t="n">
        <x:v>29083</x:v>
      </x:c>
      <x:c r="H20" s="39" t="n">
        <x:v>1080</x:v>
      </x:c>
    </x:row>
    <x:row r="21">
      <x:c r="A21" s="31" t="n">
        <x:v>45870</x:v>
      </x:c>
      <x:c r="B21" s="38" t="n">
        <x:v>1066461</x:v>
      </x:c>
      <x:c r="C21" s="38" t="n">
        <x:v>1068914</x:v>
      </x:c>
      <x:c r="D21" s="38" t="n">
        <x:v>4035</x:v>
      </x:c>
      <x:c r="E21" s="38" t="n">
        <x:v>46848</x:v>
      </x:c>
      <x:c r="F21" s="49" t="n">
        <x:v>283.9</x:v>
      </x:c>
      <x:c r="G21" s="38" t="n">
        <x:v>28752</x:v>
      </x:c>
      <x:c r="H21" s="39" t="n">
        <x:v>1101</x:v>
      </x:c>
    </x:row>
    <x:row r="22">
      <x:c r="A22" s="31" t="n">
        <x:v>45901</x:v>
      </x:c>
      <x:c r="B22" s="38" t="n">
        <x:v>1031623</x:v>
      </x:c>
      <x:c r="C22" s="38" t="n">
        <x:v>1000072</x:v>
      </x:c>
      <x:c r="D22" s="38" t="n">
        <x:v>3926</x:v>
      </x:c>
      <x:c r="E22" s="38" t="n">
        <x:v>42179</x:v>
      </x:c>
      <x:c r="F22" s="49" t="n">
        <x:v>255.6</x:v>
      </x:c>
      <x:c r="G22" s="38" t="n">
        <x:v>24318</x:v>
      </x:c>
      <x:c r="H22" s="39" t="n">
        <x:v>976</x:v>
      </x:c>
    </x:row>
    <x:row r="23">
      <x:c r="A23" s="31" t="n">
        <x:v>45931</x:v>
      </x:c>
      <x:c r="B23" s="38" t="n">
        <x:v>1084727</x:v>
      </x:c>
      <x:c r="C23" s="38" t="n">
        <x:v>1097332</x:v>
      </x:c>
      <x:c r="D23" s="38" t="n">
        <x:v>4345</x:v>
      </x:c>
      <x:c r="E23" s="38" t="n">
        <x:v>48731</x:v>
      </x:c>
      <x:c r="F23" s="49" t="n">
        <x:v>295.3</x:v>
      </x:c>
      <x:c r="G23" s="38" t="n">
        <x:v>30849</x:v>
      </x:c>
      <x:c r="H23" s="39" t="n">
        <x:v>1071</x:v>
      </x:c>
    </x:row>
    <x:row r="24">
      <x:c r="A24" s="31" t="n">
        <x:v>45962</x:v>
      </x:c>
      <x:c r="B24" s="38" t="n">
        <x:v>1048202</x:v>
      </x:c>
      <x:c r="C24" s="38" t="n">
        <x:v>1073471</x:v>
      </x:c>
      <x:c r="D24" s="38" t="n">
        <x:v>4056</x:v>
      </x:c>
      <x:c r="E24" s="38" t="n">
        <x:v>48200</x:v>
      </x:c>
      <x:c r="F24" s="49" t="n">
        <x:v>292.1</x:v>
      </x:c>
      <x:c r="G24" s="38" t="n">
        <x:v>30163</x:v>
      </x:c>
      <x:c r="H24" s="39" t="n">
        <x:v>1045</x:v>
      </x:c>
    </x:row>
    <x:row r="25">
      <x:c r="A25" s="32" t="n">
        <x:v>45992</x:v>
      </x:c>
      <x:c r="B25" s="40" t="n">
        <x:v>1108271</x:v>
      </x:c>
      <x:c r="C25" s="40" t="n">
        <x:v>1099267</x:v>
      </x:c>
      <x:c r="D25" s="40" t="n">
        <x:v>4341</x:v>
      </x:c>
      <x:c r="E25" s="40" t="n">
        <x:v>49341</x:v>
      </x:c>
      <x:c r="F25" s="50" t="n">
        <x:v>299</x:v>
      </x:c>
      <x:c r="G25" s="40" t="n">
        <x:v>31301</x:v>
      </x:c>
      <x:c r="H25" s="41" t="n">
        <x:v>1129</x:v>
      </x:c>
    </x:row>
  </x:sheetData>
  <x:pageMargins left="0.7" right="0.7" top="0.75" bottom="0.75" header="0.3" footer="0.3"/>
  <x:tableParts count="1">
    <x:tablePart xmlns:r="http://schemas.openxmlformats.org/officeDocument/2006/relationships" r:id="R3751d99a86a742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5" hidden="0" customWidth="1"/>
    <x:col min="4" max="4" width="20" hidden="0" customWidth="1"/>
    <x:col min="5" max="5" width="18" hidden="0" customWidth="1"/>
    <x:col min="6" max="6" width="22" hidden="0" customWidth="1"/>
    <x:col min="7" max="7" width="16" hidden="0" customWidth="1"/>
    <x:col min="8" max="8" width="20" hidden="0" customWidth="1"/>
    <x:col min="9" max="9" width="16" hidden="0" customWidth="1"/>
  </x:cols>
  <x:sheetData>
    <x:row r="1" ht="34" customHeight="1">
      <x:c r="A1" s="6" t="str">
        <x:v>Month</x:v>
      </x:c>
      <x:c r="B1" s="6" t="str">
        <x:v>Permanent_Labour_Cost_EUR</x:v>
      </x:c>
      <x:c r="C1" s="6" t="str">
        <x:v>Temporary_Labour_Cost_EUR</x:v>
      </x:c>
      <x:c r="D1" s="6" t="str">
        <x:v>Overtime_Cost_EUR</x:v>
      </x:c>
      <x:c r="E1" s="6" t="str">
        <x:v>Energy_Cost_EUR</x:v>
      </x:c>
      <x:c r="F1" s="6" t="str">
        <x:v>Maintenance_Cost_EUR</x:v>
      </x:c>
      <x:c r="G1" s="6" t="str">
        <x:v>Rent_Cost_EUR</x:v>
      </x:c>
      <x:c r="H1" s="6" t="str">
        <x:v>Transport_Cost_EUR</x:v>
      </x:c>
      <x:c r="I1" s="6" t="str">
        <x:v>Other_Cost_EUR</x:v>
      </x:c>
    </x:row>
    <x:row r="2">
      <x:c r="A2" s="30" t="n">
        <x:v>45292</x:v>
      </x:c>
      <x:c r="B2" s="54" t="n">
        <x:v>487217</x:v>
      </x:c>
      <x:c r="C2" s="54" t="n">
        <x:v>7425</x:v>
      </x:c>
      <x:c r="D2" s="54" t="n">
        <x:v>1001855</x:v>
      </x:c>
      <x:c r="E2" s="54" t="n">
        <x:v>65990</x:v>
      </x:c>
      <x:c r="F2" s="54" t="n">
        <x:v>70065</x:v>
      </x:c>
      <x:c r="G2" s="54" t="n">
        <x:v>285000</x:v>
      </x:c>
      <x:c r="H2" s="54" t="n">
        <x:v>728923</x:v>
      </x:c>
      <x:c r="I2" s="55" t="n">
        <x:v>77127</x:v>
      </x:c>
    </x:row>
    <x:row r="3">
      <x:c r="A3" s="31" t="n">
        <x:v>45323</x:v>
      </x:c>
      <x:c r="B3" s="56" t="n">
        <x:v>472706</x:v>
      </x:c>
      <x:c r="C3" s="56" t="n">
        <x:v>2048</x:v>
      </x:c>
      <x:c r="D3" s="56" t="n">
        <x:v>987193</x:v>
      </x:c>
      <x:c r="E3" s="56" t="n">
        <x:v>68871</x:v>
      </x:c>
      <x:c r="F3" s="56" t="n">
        <x:v>73930</x:v>
      </x:c>
      <x:c r="G3" s="56" t="n">
        <x:v>285000</x:v>
      </x:c>
      <x:c r="H3" s="56" t="n">
        <x:v>740953</x:v>
      </x:c>
      <x:c r="I3" s="57" t="n">
        <x:v>78939</x:v>
      </x:c>
    </x:row>
    <x:row r="4">
      <x:c r="A4" s="31" t="n">
        <x:v>45352</x:v>
      </x:c>
      <x:c r="B4" s="56" t="n">
        <x:v>481385</x:v>
      </x:c>
      <x:c r="C4" s="56" t="n">
        <x:v>8721</x:v>
      </x:c>
      <x:c r="D4" s="56" t="n">
        <x:v>975480</x:v>
      </x:c>
      <x:c r="E4" s="56" t="n">
        <x:v>60702</x:v>
      </x:c>
      <x:c r="F4" s="56" t="n">
        <x:v>73505</x:v>
      </x:c>
      <x:c r="G4" s="56" t="n">
        <x:v>285000</x:v>
      </x:c>
      <x:c r="H4" s="56" t="n">
        <x:v>761713</x:v>
      </x:c>
      <x:c r="I4" s="57" t="n">
        <x:v>79634</x:v>
      </x:c>
    </x:row>
    <x:row r="5">
      <x:c r="A5" s="31" t="n">
        <x:v>45383</x:v>
      </x:c>
      <x:c r="B5" s="56" t="n">
        <x:v>486613</x:v>
      </x:c>
      <x:c r="C5" s="56" t="n">
        <x:v>1562</x:v>
      </x:c>
      <x:c r="D5" s="56" t="n">
        <x:v>1067654</x:v>
      </x:c>
      <x:c r="E5" s="56" t="n">
        <x:v>59825</x:v>
      </x:c>
      <x:c r="F5" s="56" t="n">
        <x:v>81333</x:v>
      </x:c>
      <x:c r="G5" s="56" t="n">
        <x:v>285000</x:v>
      </x:c>
      <x:c r="H5" s="56" t="n">
        <x:v>771632</x:v>
      </x:c>
      <x:c r="I5" s="57" t="n">
        <x:v>76207</x:v>
      </x:c>
    </x:row>
    <x:row r="6">
      <x:c r="A6" s="31" t="n">
        <x:v>45413</x:v>
      </x:c>
      <x:c r="B6" s="56" t="n">
        <x:v>476610</x:v>
      </x:c>
      <x:c r="C6" s="56" t="n">
        <x:v>5014</x:v>
      </x:c>
      <x:c r="D6" s="56" t="n">
        <x:v>1128395</x:v>
      </x:c>
      <x:c r="E6" s="56" t="n">
        <x:v>64731</x:v>
      </x:c>
      <x:c r="F6" s="56" t="n">
        <x:v>81048</x:v>
      </x:c>
      <x:c r="G6" s="56" t="n">
        <x:v>285000</x:v>
      </x:c>
      <x:c r="H6" s="56" t="n">
        <x:v>810598</x:v>
      </x:c>
      <x:c r="I6" s="57" t="n">
        <x:v>78824</x:v>
      </x:c>
    </x:row>
    <x:row r="7">
      <x:c r="A7" s="31" t="n">
        <x:v>45444</x:v>
      </x:c>
      <x:c r="B7" s="56" t="n">
        <x:v>481892</x:v>
      </x:c>
      <x:c r="C7" s="56" t="n">
        <x:v>4222</x:v>
      </x:c>
      <x:c r="D7" s="56" t="n">
        <x:v>1006834</x:v>
      </x:c>
      <x:c r="E7" s="56" t="n">
        <x:v>62355</x:v>
      </x:c>
      <x:c r="F7" s="56" t="n">
        <x:v>75947</x:v>
      </x:c>
      <x:c r="G7" s="56" t="n">
        <x:v>285000</x:v>
      </x:c>
      <x:c r="H7" s="56" t="n">
        <x:v>787154</x:v>
      </x:c>
      <x:c r="I7" s="57" t="n">
        <x:v>76436</x:v>
      </x:c>
    </x:row>
    <x:row r="8">
      <x:c r="A8" s="31" t="n">
        <x:v>45474</x:v>
      </x:c>
      <x:c r="B8" s="56" t="n">
        <x:v>479143</x:v>
      </x:c>
      <x:c r="C8" s="56" t="n">
        <x:v>0</x:v>
      </x:c>
      <x:c r="D8" s="56" t="n">
        <x:v>1012171</x:v>
      </x:c>
      <x:c r="E8" s="56" t="n">
        <x:v>59520</x:v>
      </x:c>
      <x:c r="F8" s="56" t="n">
        <x:v>77404</x:v>
      </x:c>
      <x:c r="G8" s="56" t="n">
        <x:v>285000</x:v>
      </x:c>
      <x:c r="H8" s="56" t="n">
        <x:v>775223</x:v>
      </x:c>
      <x:c r="I8" s="57" t="n">
        <x:v>79793</x:v>
      </x:c>
    </x:row>
    <x:row r="9">
      <x:c r="A9" s="31" t="n">
        <x:v>45505</x:v>
      </x:c>
      <x:c r="B9" s="56" t="n">
        <x:v>480268</x:v>
      </x:c>
      <x:c r="C9" s="56" t="n">
        <x:v>0</x:v>
      </x:c>
      <x:c r="D9" s="56" t="n">
        <x:v>1071360</x:v>
      </x:c>
      <x:c r="E9" s="56" t="n">
        <x:v>61703</x:v>
      </x:c>
      <x:c r="F9" s="56" t="n">
        <x:v>68113</x:v>
      </x:c>
      <x:c r="G9" s="56" t="n">
        <x:v>285000</x:v>
      </x:c>
      <x:c r="H9" s="56" t="n">
        <x:v>751189</x:v>
      </x:c>
      <x:c r="I9" s="57" t="n">
        <x:v>77423</x:v>
      </x:c>
    </x:row>
    <x:row r="10">
      <x:c r="A10" s="31" t="n">
        <x:v>45536</x:v>
      </x:c>
      <x:c r="B10" s="56" t="n">
        <x:v>488227</x:v>
      </x:c>
      <x:c r="C10" s="56" t="n">
        <x:v>5838</x:v>
      </x:c>
      <x:c r="D10" s="56" t="n">
        <x:v>1008088</x:v>
      </x:c>
      <x:c r="E10" s="56" t="n">
        <x:v>62220</x:v>
      </x:c>
      <x:c r="F10" s="56" t="n">
        <x:v>79744</x:v>
      </x:c>
      <x:c r="G10" s="56" t="n">
        <x:v>285000</x:v>
      </x:c>
      <x:c r="H10" s="56" t="n">
        <x:v>753271</x:v>
      </x:c>
      <x:c r="I10" s="57" t="n">
        <x:v>72934</x:v>
      </x:c>
    </x:row>
    <x:row r="11">
      <x:c r="A11" s="31" t="n">
        <x:v>45566</x:v>
      </x:c>
      <x:c r="B11" s="56" t="n">
        <x:v>485357</x:v>
      </x:c>
      <x:c r="C11" s="56" t="n">
        <x:v>5863</x:v>
      </x:c>
      <x:c r="D11" s="56" t="n">
        <x:v>1198682</x:v>
      </x:c>
      <x:c r="E11" s="56" t="n">
        <x:v>62689</x:v>
      </x:c>
      <x:c r="F11" s="56" t="n">
        <x:v>79182</x:v>
      </x:c>
      <x:c r="G11" s="56" t="n">
        <x:v>285000</x:v>
      </x:c>
      <x:c r="H11" s="56" t="n">
        <x:v>788241</x:v>
      </x:c>
      <x:c r="I11" s="57" t="n">
        <x:v>76236</x:v>
      </x:c>
    </x:row>
    <x:row r="12">
      <x:c r="A12" s="31" t="n">
        <x:v>45597</x:v>
      </x:c>
      <x:c r="B12" s="56" t="n">
        <x:v>485061</x:v>
      </x:c>
      <x:c r="C12" s="56" t="n">
        <x:v>0</x:v>
      </x:c>
      <x:c r="D12" s="56" t="n">
        <x:v>1014174</x:v>
      </x:c>
      <x:c r="E12" s="56" t="n">
        <x:v>62651</x:v>
      </x:c>
      <x:c r="F12" s="56" t="n">
        <x:v>84383</x:v>
      </x:c>
      <x:c r="G12" s="56" t="n">
        <x:v>285000</x:v>
      </x:c>
      <x:c r="H12" s="56" t="n">
        <x:v>735948</x:v>
      </x:c>
      <x:c r="I12" s="57" t="n">
        <x:v>76923</x:v>
      </x:c>
    </x:row>
    <x:row r="13">
      <x:c r="A13" s="31" t="n">
        <x:v>45627</x:v>
      </x:c>
      <x:c r="B13" s="56" t="n">
        <x:v>479137</x:v>
      </x:c>
      <x:c r="C13" s="56" t="n">
        <x:v>4637</x:v>
      </x:c>
      <x:c r="D13" s="56" t="n">
        <x:v>1051476</x:v>
      </x:c>
      <x:c r="E13" s="56" t="n">
        <x:v>70652</x:v>
      </x:c>
      <x:c r="F13" s="56" t="n">
        <x:v>79569</x:v>
      </x:c>
      <x:c r="G13" s="56" t="n">
        <x:v>285000</x:v>
      </x:c>
      <x:c r="H13" s="56" t="n">
        <x:v>775092</x:v>
      </x:c>
      <x:c r="I13" s="57" t="n">
        <x:v>74986</x:v>
      </x:c>
    </x:row>
    <x:row r="14">
      <x:c r="A14" s="31" t="n">
        <x:v>45658</x:v>
      </x:c>
      <x:c r="B14" s="56" t="n">
        <x:v>504255</x:v>
      </x:c>
      <x:c r="C14" s="56" t="n">
        <x:v>8156</x:v>
      </x:c>
      <x:c r="D14" s="56" t="n">
        <x:v>1006923</x:v>
      </x:c>
      <x:c r="E14" s="56" t="n">
        <x:v>69094</x:v>
      </x:c>
      <x:c r="F14" s="56" t="n">
        <x:v>73386</x:v>
      </x:c>
      <x:c r="G14" s="56" t="n">
        <x:v>292125</x:v>
      </x:c>
      <x:c r="H14" s="56" t="n">
        <x:v>787908</x:v>
      </x:c>
      <x:c r="I14" s="57" t="n">
        <x:v>76820</x:v>
      </x:c>
    </x:row>
    <x:row r="15">
      <x:c r="A15" s="31" t="n">
        <x:v>45689</x:v>
      </x:c>
      <x:c r="B15" s="56" t="n">
        <x:v>496483</x:v>
      </x:c>
      <x:c r="C15" s="56" t="n">
        <x:v>7472</x:v>
      </x:c>
      <x:c r="D15" s="56" t="n">
        <x:v>1094393</x:v>
      </x:c>
      <x:c r="E15" s="56" t="n">
        <x:v>72645</x:v>
      </x:c>
      <x:c r="F15" s="56" t="n">
        <x:v>72170</x:v>
      </x:c>
      <x:c r="G15" s="56" t="n">
        <x:v>292125</x:v>
      </x:c>
      <x:c r="H15" s="56" t="n">
        <x:v>867586</x:v>
      </x:c>
      <x:c r="I15" s="57" t="n">
        <x:v>78822</x:v>
      </x:c>
    </x:row>
    <x:row r="16">
      <x:c r="A16" s="31" t="n">
        <x:v>45717</x:v>
      </x:c>
      <x:c r="B16" s="56" t="n">
        <x:v>491717</x:v>
      </x:c>
      <x:c r="C16" s="56" t="n">
        <x:v>4631</x:v>
      </x:c>
      <x:c r="D16" s="56" t="n">
        <x:v>1059906</x:v>
      </x:c>
      <x:c r="E16" s="56" t="n">
        <x:v>62214</x:v>
      </x:c>
      <x:c r="F16" s="56" t="n">
        <x:v>85580</x:v>
      </x:c>
      <x:c r="G16" s="56" t="n">
        <x:v>292125</x:v>
      </x:c>
      <x:c r="H16" s="56" t="n">
        <x:v>800586</x:v>
      </x:c>
      <x:c r="I16" s="57" t="n">
        <x:v>80328</x:v>
      </x:c>
    </x:row>
    <x:row r="17">
      <x:c r="A17" s="31" t="n">
        <x:v>45748</x:v>
      </x:c>
      <x:c r="B17" s="56" t="n">
        <x:v>503326</x:v>
      </x:c>
      <x:c r="C17" s="56" t="n">
        <x:v>7381</x:v>
      </x:c>
      <x:c r="D17" s="56" t="n">
        <x:v>1257051</x:v>
      </x:c>
      <x:c r="E17" s="56" t="n">
        <x:v>62831</x:v>
      </x:c>
      <x:c r="F17" s="56" t="n">
        <x:v>88738</x:v>
      </x:c>
      <x:c r="G17" s="56" t="n">
        <x:v>292125</x:v>
      </x:c>
      <x:c r="H17" s="56" t="n">
        <x:v>877935</x:v>
      </x:c>
      <x:c r="I17" s="57" t="n">
        <x:v>75363</x:v>
      </x:c>
    </x:row>
    <x:row r="18">
      <x:c r="A18" s="31" t="n">
        <x:v>45778</x:v>
      </x:c>
      <x:c r="B18" s="56" t="n">
        <x:v>501389</x:v>
      </x:c>
      <x:c r="C18" s="56" t="n">
        <x:v>0</x:v>
      </x:c>
      <x:c r="D18" s="56" t="n">
        <x:v>1163425</x:v>
      </x:c>
      <x:c r="E18" s="56" t="n">
        <x:v>65694</x:v>
      </x:c>
      <x:c r="F18" s="56" t="n">
        <x:v>74216</x:v>
      </x:c>
      <x:c r="G18" s="56" t="n">
        <x:v>292125</x:v>
      </x:c>
      <x:c r="H18" s="56" t="n">
        <x:v>803735</x:v>
      </x:c>
      <x:c r="I18" s="57" t="n">
        <x:v>81888</x:v>
      </x:c>
    </x:row>
    <x:row r="19">
      <x:c r="A19" s="31" t="n">
        <x:v>45809</x:v>
      </x:c>
      <x:c r="B19" s="56" t="n">
        <x:v>503391</x:v>
      </x:c>
      <x:c r="C19" s="56" t="n">
        <x:v>0</x:v>
      </x:c>
      <x:c r="D19" s="56" t="n">
        <x:v>1249083</x:v>
      </x:c>
      <x:c r="E19" s="56" t="n">
        <x:v>64209</x:v>
      </x:c>
      <x:c r="F19" s="56" t="n">
        <x:v>88664</x:v>
      </x:c>
      <x:c r="G19" s="56" t="n">
        <x:v>292125</x:v>
      </x:c>
      <x:c r="H19" s="56" t="n">
        <x:v>845838</x:v>
      </x:c>
      <x:c r="I19" s="57" t="n">
        <x:v>74490</x:v>
      </x:c>
    </x:row>
    <x:row r="20">
      <x:c r="A20" s="31" t="n">
        <x:v>45839</x:v>
      </x:c>
      <x:c r="B20" s="56" t="n">
        <x:v>496289</x:v>
      </x:c>
      <x:c r="C20" s="56" t="n">
        <x:v>9495</x:v>
      </x:c>
      <x:c r="D20" s="56" t="n">
        <x:v>1071014</x:v>
      </x:c>
      <x:c r="E20" s="56" t="n">
        <x:v>61029</x:v>
      </x:c>
      <x:c r="F20" s="56" t="n">
        <x:v>75573</x:v>
      </x:c>
      <x:c r="G20" s="56" t="n">
        <x:v>292125</x:v>
      </x:c>
      <x:c r="H20" s="56" t="n">
        <x:v>828231</x:v>
      </x:c>
      <x:c r="I20" s="57" t="n">
        <x:v>75865</x:v>
      </x:c>
    </x:row>
    <x:row r="21">
      <x:c r="A21" s="31" t="n">
        <x:v>45870</x:v>
      </x:c>
      <x:c r="B21" s="56" t="n">
        <x:v>499598</x:v>
      </x:c>
      <x:c r="C21" s="56" t="n">
        <x:v>8830</x:v>
      </x:c>
      <x:c r="D21" s="56" t="n">
        <x:v>1120767</x:v>
      </x:c>
      <x:c r="E21" s="56" t="n">
        <x:v>59208</x:v>
      </x:c>
      <x:c r="F21" s="56" t="n">
        <x:v>73485</x:v>
      </x:c>
      <x:c r="G21" s="56" t="n">
        <x:v>292125</x:v>
      </x:c>
      <x:c r="H21" s="56" t="n">
        <x:v>813159</x:v>
      </x:c>
      <x:c r="I21" s="57" t="n">
        <x:v>80670</x:v>
      </x:c>
    </x:row>
    <x:row r="22">
      <x:c r="A22" s="31" t="n">
        <x:v>45901</x:v>
      </x:c>
      <x:c r="B22" s="56" t="n">
        <x:v>502644</x:v>
      </x:c>
      <x:c r="C22" s="56" t="n">
        <x:v>1255</x:v>
      </x:c>
      <x:c r="D22" s="56" t="n">
        <x:v>827763</x:v>
      </x:c>
      <x:c r="E22" s="56" t="n">
        <x:v>61771</x:v>
      </x:c>
      <x:c r="F22" s="56" t="n">
        <x:v>72493</x:v>
      </x:c>
      <x:c r="G22" s="56" t="n">
        <x:v>292125</x:v>
      </x:c>
      <x:c r="H22" s="56" t="n">
        <x:v>748043</x:v>
      </x:c>
      <x:c r="I22" s="57" t="n">
        <x:v>79513</x:v>
      </x:c>
    </x:row>
    <x:row r="23">
      <x:c r="A23" s="31" t="n">
        <x:v>45931</x:v>
      </x:c>
      <x:c r="B23" s="56" t="n">
        <x:v>501178</x:v>
      </x:c>
      <x:c r="C23" s="56" t="n">
        <x:v>1821</x:v>
      </x:c>
      <x:c r="D23" s="56" t="n">
        <x:v>1154909</x:v>
      </x:c>
      <x:c r="E23" s="56" t="n">
        <x:v>63610</x:v>
      </x:c>
      <x:c r="F23" s="56" t="n">
        <x:v>79239</x:v>
      </x:c>
      <x:c r="G23" s="56" t="n">
        <x:v>292125</x:v>
      </x:c>
      <x:c r="H23" s="56" t="n">
        <x:v>789947</x:v>
      </x:c>
      <x:c r="I23" s="57" t="n">
        <x:v>80946</x:v>
      </x:c>
    </x:row>
    <x:row r="24">
      <x:c r="A24" s="31" t="n">
        <x:v>45962</x:v>
      </x:c>
      <x:c r="B24" s="56" t="n">
        <x:v>493712</x:v>
      </x:c>
      <x:c r="C24" s="56" t="n">
        <x:v>6216</x:v>
      </x:c>
      <x:c r="D24" s="56" t="n">
        <x:v>1092177</x:v>
      </x:c>
      <x:c r="E24" s="56" t="n">
        <x:v>61841</x:v>
      </x:c>
      <x:c r="F24" s="56" t="n">
        <x:v>79236</x:v>
      </x:c>
      <x:c r="G24" s="56" t="n">
        <x:v>292125</x:v>
      </x:c>
      <x:c r="H24" s="56" t="n">
        <x:v>760584</x:v>
      </x:c>
      <x:c r="I24" s="57" t="n">
        <x:v>80851</x:v>
      </x:c>
    </x:row>
    <x:row r="25">
      <x:c r="A25" s="32" t="n">
        <x:v>45992</x:v>
      </x:c>
      <x:c r="B25" s="58" t="n">
        <x:v>495395</x:v>
      </x:c>
      <x:c r="C25" s="58" t="n">
        <x:v>6951</x:v>
      </x:c>
      <x:c r="D25" s="58" t="n">
        <x:v>1188831</x:v>
      </x:c>
      <x:c r="E25" s="58" t="n">
        <x:v>71628</x:v>
      </x:c>
      <x:c r="F25" s="58" t="n">
        <x:v>85800</x:v>
      </x:c>
      <x:c r="G25" s="58" t="n">
        <x:v>292125</x:v>
      </x:c>
      <x:c r="H25" s="58" t="n">
        <x:v>829482</x:v>
      </x:c>
      <x:c r="I25" s="59" t="n">
        <x:v>75187</x:v>
      </x:c>
    </x:row>
  </x:sheetData>
  <x:pageMargins left="0.7" right="0.7" top="0.75" bottom="0.75" header="0.3" footer="0.3"/>
  <x:tableParts count="1">
    <x:tablePart xmlns:r="http://schemas.openxmlformats.org/officeDocument/2006/relationships" r:id="R2e61045ea94a43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5" hidden="0" customWidth="1"/>
    <x:col min="7" max="7" width="27" hidden="0" customWidth="1"/>
    <x:col min="8" max="8" width="24" hidden="0" customWidth="1"/>
    <x:col min="9" max="9" width="24" hidden="0" customWidth="1"/>
  </x:cols>
  <x:sheetData>
    <x:row r="1" ht="34" customHeight="1">
      <x:c r="A1" s="6" t="str">
        <x:v>Month</x:v>
      </x:c>
      <x:c r="B1" s="6" t="str">
        <x:v>Forecast_Cases_Shipped</x:v>
      </x:c>
      <x:c r="C1" s="6" t="str">
        <x:v>Forecast_Cases_Received</x:v>
      </x:c>
      <x:c r="D1" s="6" t="str">
        <x:v>Salary_Inflation_Percent</x:v>
      </x:c>
      <x:c r="E1" s="6" t="str">
        <x:v>Energy_Inflation_Percent</x:v>
      </x:c>
      <x:c r="F1" s="6" t="str">
        <x:v>Transport_Inflation_Percent</x:v>
      </x:c>
      <x:c r="G1" s="6" t="str">
        <x:v>Productivity_Cases_Per_Hour</x:v>
      </x:c>
      <x:c r="H1" s="6" t="str">
        <x:v>Maximum_Pallet_Capacity</x:v>
      </x:c>
      <x:c r="I1" s="6" t="str">
        <x:v>Average_Cases_Per_Pallet</x:v>
      </x:c>
    </x:row>
    <x:row r="2">
      <x:c r="A2" s="30" t="n">
        <x:v>46023</x:v>
      </x:c>
      <x:c r="B2" s="36" t="n">
        <x:v>1097491</x:v>
      </x:c>
      <x:c r="C2" s="36" t="n">
        <x:v>1061153</x:v>
      </x:c>
      <x:c r="D2" s="78" t="n">
        <x:v>0.035</x:v>
      </x:c>
      <x:c r="E2" s="78" t="n">
        <x:v>0.045</x:v>
      </x:c>
      <x:c r="F2" s="78" t="n">
        <x:v>0.03</x:v>
      </x:c>
      <x:c r="G2" s="79" t="n">
        <x:v>48.5</x:v>
      </x:c>
      <x:c r="H2" s="80" t="n">
        <x:v>24000</x:v>
      </x:c>
      <x:c r="I2" s="81" t="n">
        <x:v>56</x:v>
      </x:c>
    </x:row>
    <x:row r="3">
      <x:c r="A3" s="31" t="n">
        <x:v>46054</x:v>
      </x:c>
      <x:c r="B3" s="38" t="n">
        <x:v>1175484</x:v>
      </x:c>
      <x:c r="C3" s="38" t="n">
        <x:v>1182030</x:v>
      </x:c>
      <x:c r="D3" s="82" t="n">
        <x:v>0.035</x:v>
      </x:c>
      <x:c r="E3" s="82" t="n">
        <x:v>0.045</x:v>
      </x:c>
      <x:c r="F3" s="82" t="n">
        <x:v>0.03</x:v>
      </x:c>
      <x:c r="G3" s="83" t="n">
        <x:v>48.5</x:v>
      </x:c>
      <x:c r="H3" s="84" t="n">
        <x:v>24000</x:v>
      </x:c>
      <x:c r="I3" s="85" t="n">
        <x:v>56</x:v>
      </x:c>
    </x:row>
    <x:row r="4">
      <x:c r="A4" s="31" t="n">
        <x:v>46082</x:v>
      </x:c>
      <x:c r="B4" s="38" t="n">
        <x:v>1150193</x:v>
      </x:c>
      <x:c r="C4" s="38" t="n">
        <x:v>1142688</x:v>
      </x:c>
      <x:c r="D4" s="82" t="n">
        <x:v>0.035</x:v>
      </x:c>
      <x:c r="E4" s="82" t="n">
        <x:v>0.045</x:v>
      </x:c>
      <x:c r="F4" s="82" t="n">
        <x:v>0.03</x:v>
      </x:c>
      <x:c r="G4" s="83" t="n">
        <x:v>48.5</x:v>
      </x:c>
      <x:c r="H4" s="84" t="n">
        <x:v>24000</x:v>
      </x:c>
      <x:c r="I4" s="85" t="n">
        <x:v>56</x:v>
      </x:c>
    </x:row>
    <x:row r="5">
      <x:c r="A5" s="31" t="n">
        <x:v>46113</x:v>
      </x:c>
      <x:c r="B5" s="38" t="n">
        <x:v>1251633</x:v>
      </x:c>
      <x:c r="C5" s="38" t="n">
        <x:v>1216895</x:v>
      </x:c>
      <x:c r="D5" s="82" t="n">
        <x:v>0.035</x:v>
      </x:c>
      <x:c r="E5" s="82" t="n">
        <x:v>0.045</x:v>
      </x:c>
      <x:c r="F5" s="82" t="n">
        <x:v>0.03</x:v>
      </x:c>
      <x:c r="G5" s="83" t="n">
        <x:v>48.5</x:v>
      </x:c>
      <x:c r="H5" s="84" t="n">
        <x:v>24000</x:v>
      </x:c>
      <x:c r="I5" s="85" t="n">
        <x:v>56</x:v>
      </x:c>
    </x:row>
    <x:row r="6">
      <x:c r="A6" s="31" t="n">
        <x:v>46143</x:v>
      </x:c>
      <x:c r="B6" s="38" t="n">
        <x:v>1187698</x:v>
      </x:c>
      <x:c r="C6" s="38" t="n">
        <x:v>1228165</x:v>
      </x:c>
      <x:c r="D6" s="82" t="n">
        <x:v>0.035</x:v>
      </x:c>
      <x:c r="E6" s="82" t="n">
        <x:v>0.045</x:v>
      </x:c>
      <x:c r="F6" s="82" t="n">
        <x:v>0.03</x:v>
      </x:c>
      <x:c r="G6" s="83" t="n">
        <x:v>48.5</x:v>
      </x:c>
      <x:c r="H6" s="84" t="n">
        <x:v>24000</x:v>
      </x:c>
      <x:c r="I6" s="85" t="n">
        <x:v>56</x:v>
      </x:c>
    </x:row>
    <x:row r="7">
      <x:c r="A7" s="31" t="n">
        <x:v>46174</x:v>
      </x:c>
      <x:c r="B7" s="38" t="n">
        <x:v>1255642</x:v>
      </x:c>
      <x:c r="C7" s="38" t="n">
        <x:v>1276590</x:v>
      </x:c>
      <x:c r="D7" s="82" t="n">
        <x:v>0.035</x:v>
      </x:c>
      <x:c r="E7" s="82" t="n">
        <x:v>0.045</x:v>
      </x:c>
      <x:c r="F7" s="82" t="n">
        <x:v>0.03</x:v>
      </x:c>
      <x:c r="G7" s="83" t="n">
        <x:v>48.5</x:v>
      </x:c>
      <x:c r="H7" s="84" t="n">
        <x:v>24000</x:v>
      </x:c>
      <x:c r="I7" s="85" t="n">
        <x:v>56</x:v>
      </x:c>
    </x:row>
    <x:row r="8">
      <x:c r="A8" s="31" t="n">
        <x:v>46204</x:v>
      </x:c>
      <x:c r="B8" s="38" t="n">
        <x:v>1174450</x:v>
      </x:c>
      <x:c r="C8" s="38" t="n">
        <x:v>1166882</x:v>
      </x:c>
      <x:c r="D8" s="82" t="n">
        <x:v>0.035</x:v>
      </x:c>
      <x:c r="E8" s="82" t="n">
        <x:v>0.035</x:v>
      </x:c>
      <x:c r="F8" s="82" t="n">
        <x:v>0.03</x:v>
      </x:c>
      <x:c r="G8" s="83" t="n">
        <x:v>49.5</x:v>
      </x:c>
      <x:c r="H8" s="84" t="n">
        <x:v>24000</x:v>
      </x:c>
      <x:c r="I8" s="85" t="n">
        <x:v>56</x:v>
      </x:c>
    </x:row>
    <x:row r="9">
      <x:c r="A9" s="31" t="n">
        <x:v>46235</x:v>
      </x:c>
      <x:c r="B9" s="38" t="n">
        <x:v>1133049</x:v>
      </x:c>
      <x:c r="C9" s="38" t="n">
        <x:v>1125116</x:v>
      </x:c>
      <x:c r="D9" s="82" t="n">
        <x:v>0.035</x:v>
      </x:c>
      <x:c r="E9" s="82" t="n">
        <x:v>0.035</x:v>
      </x:c>
      <x:c r="F9" s="82" t="n">
        <x:v>0.03</x:v>
      </x:c>
      <x:c r="G9" s="83" t="n">
        <x:v>49.5</x:v>
      </x:c>
      <x:c r="H9" s="84" t="n">
        <x:v>24000</x:v>
      </x:c>
      <x:c r="I9" s="85" t="n">
        <x:v>56</x:v>
      </x:c>
    </x:row>
    <x:row r="10">
      <x:c r="A10" s="31" t="n">
        <x:v>46266</x:v>
      </x:c>
      <x:c r="B10" s="38" t="n">
        <x:v>1060076</x:v>
      </x:c>
      <x:c r="C10" s="38" t="n">
        <x:v>1088362</x:v>
      </x:c>
      <x:c r="D10" s="82" t="n">
        <x:v>0.035</x:v>
      </x:c>
      <x:c r="E10" s="82" t="n">
        <x:v>0.035</x:v>
      </x:c>
      <x:c r="F10" s="82" t="n">
        <x:v>0.03</x:v>
      </x:c>
      <x:c r="G10" s="83" t="n">
        <x:v>49.5</x:v>
      </x:c>
      <x:c r="H10" s="84" t="n">
        <x:v>24000</x:v>
      </x:c>
      <x:c r="I10" s="85" t="n">
        <x:v>56</x:v>
      </x:c>
    </x:row>
    <x:row r="11">
      <x:c r="A11" s="31" t="n">
        <x:v>46296</x:v>
      </x:c>
      <x:c r="B11" s="38" t="n">
        <x:v>1163172</x:v>
      </x:c>
      <x:c r="C11" s="38" t="n">
        <x:v>1144387</x:v>
      </x:c>
      <x:c r="D11" s="82" t="n">
        <x:v>0.035</x:v>
      </x:c>
      <x:c r="E11" s="82" t="n">
        <x:v>0.035</x:v>
      </x:c>
      <x:c r="F11" s="82" t="n">
        <x:v>0.03</x:v>
      </x:c>
      <x:c r="G11" s="83" t="n">
        <x:v>49.5</x:v>
      </x:c>
      <x:c r="H11" s="84" t="n">
        <x:v>24000</x:v>
      </x:c>
      <x:c r="I11" s="85" t="n">
        <x:v>56</x:v>
      </x:c>
    </x:row>
    <x:row r="12">
      <x:c r="A12" s="31" t="n">
        <x:v>46327</x:v>
      </x:c>
      <x:c r="B12" s="38" t="n">
        <x:v>1137879</x:v>
      </x:c>
      <x:c r="C12" s="38" t="n">
        <x:v>1105853</x:v>
      </x:c>
      <x:c r="D12" s="82" t="n">
        <x:v>0.035</x:v>
      </x:c>
      <x:c r="E12" s="82" t="n">
        <x:v>0.035</x:v>
      </x:c>
      <x:c r="F12" s="82" t="n">
        <x:v>0.03</x:v>
      </x:c>
      <x:c r="G12" s="83" t="n">
        <x:v>49.5</x:v>
      </x:c>
      <x:c r="H12" s="84" t="n">
        <x:v>24000</x:v>
      </x:c>
      <x:c r="I12" s="85" t="n">
        <x:v>56</x:v>
      </x:c>
    </x:row>
    <x:row r="13">
      <x:c r="A13" s="32" t="n">
        <x:v>46357</x:v>
      </x:c>
      <x:c r="B13" s="40" t="n">
        <x:v>1165223</x:v>
      </x:c>
      <x:c r="C13" s="40" t="n">
        <x:v>1169226</x:v>
      </x:c>
      <x:c r="D13" s="86" t="n">
        <x:v>0.035</x:v>
      </x:c>
      <x:c r="E13" s="86" t="n">
        <x:v>0.035</x:v>
      </x:c>
      <x:c r="F13" s="86" t="n">
        <x:v>0.03</x:v>
      </x:c>
      <x:c r="G13" s="87" t="n">
        <x:v>49.5</x:v>
      </x:c>
      <x:c r="H13" s="88" t="n">
        <x:v>24000</x:v>
      </x:c>
      <x:c r="I13" s="89" t="n">
        <x:v>56</x:v>
      </x:c>
    </x:row>
  </x:sheetData>
  <x:conditionalFormatting sqref="D2:I13">
    <x:cfRule type="expression" dxfId="0" priority="1">
      <x:formula>D2&lt;&gt;0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aa6029616b4b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</x:cols>
  <x:sheetData>
    <x:row r="1" ht="34" customHeight="1">
      <x:c r="A1" s="6" t="str">
        <x:v>Sheet</x:v>
      </x:c>
      <x:c r="B1" s="6" t="str">
        <x:v>Field</x:v>
      </x:c>
      <x:c r="C1" s="6" t="str">
        <x:v>Definition</x:v>
      </x:c>
    </x:row>
    <x:row r="2">
      <x:c r="A2" s="108" t="str">
        <x:v>Workbook</x:v>
      </x:c>
      <x:c r="B2" s="109" t="str">
        <x:v>DC_Forecast_Data.xlsx</x:v>
      </x:c>
      <x:c r="C2" s="110" t="str">
        <x:v>Synthetic but realistic training inputs for a European consumer-goods distribution center.</x:v>
      </x:c>
    </x:row>
    <x:row r="3">
      <x:c r="A3" s="111" t="str">
        <x:v>Historical_Operations</x:v>
      </x:c>
      <x:c r="B3" s="112" t="str">
        <x:v>Month</x:v>
      </x:c>
      <x:c r="C3" s="113" t="str">
        <x:v>Month of observation.</x:v>
      </x:c>
    </x:row>
    <x:row r="4">
      <x:c r="A4" s="111" t="str">
        <x:v>Historical_Operations</x:v>
      </x:c>
      <x:c r="B4" s="112" t="str">
        <x:v>Cases_Received</x:v>
      </x:c>
      <x:c r="C4" s="113" t="str">
        <x:v>Cases received from factories during the month.</x:v>
      </x:c>
    </x:row>
    <x:row r="5">
      <x:c r="A5" s="111" t="str">
        <x:v>Historical_Operations</x:v>
      </x:c>
      <x:c r="B5" s="112" t="str">
        <x:v>Cases_Shipped</x:v>
      </x:c>
      <x:c r="C5" s="113" t="str">
        <x:v>Cases shipped to customers during the month.</x:v>
      </x:c>
    </x:row>
    <x:row r="6">
      <x:c r="A6" s="111" t="str">
        <x:v>Historical_Operations</x:v>
      </x:c>
      <x:c r="B6" s="112" t="str">
        <x:v>Pallets_Stored</x:v>
      </x:c>
      <x:c r="C6" s="113" t="str">
        <x:v>Average number of pallets stored during the month.</x:v>
      </x:c>
    </x:row>
    <x:row r="7">
      <x:c r="A7" s="111" t="str">
        <x:v>Historical_Operations</x:v>
      </x:c>
      <x:c r="B7" s="112" t="str">
        <x:v>Labour_Hours</x:v>
      </x:c>
      <x:c r="C7" s="113" t="str">
        <x:v>Total regular, temporary and overtime warehouse labour hours.</x:v>
      </x:c>
    </x:row>
    <x:row r="8">
      <x:c r="A8" s="111" t="str">
        <x:v>Historical_Operations</x:v>
      </x:c>
      <x:c r="B8" s="112" t="str">
        <x:v>FTE_Count</x:v>
      </x:c>
      <x:c r="C8" s="113" t="str">
        <x:v>Average full-time-equivalent warehouse headcount.</x:v>
      </x:c>
    </x:row>
    <x:row r="9">
      <x:c r="A9" s="111" t="str">
        <x:v>Historical_Operations</x:v>
      </x:c>
      <x:c r="B9" s="112" t="str">
        <x:v>Overtime_Hours</x:v>
      </x:c>
      <x:c r="C9" s="113" t="str">
        <x:v>Total overtime hours worked.</x:v>
      </x:c>
    </x:row>
    <x:row r="10">
      <x:c r="A10" s="111" t="str">
        <x:v>Historical_Operations</x:v>
      </x:c>
      <x:c r="B10" s="112" t="str">
        <x:v>Transport_Loads</x:v>
      </x:c>
      <x:c r="C10" s="113" t="str">
        <x:v>Number of outbound truckloads.</x:v>
      </x:c>
    </x:row>
    <x:row r="11">
      <x:c r="A11" s="111" t="str">
        <x:v>Historical_Costs</x:v>
      </x:c>
      <x:c r="B11" s="112" t="str">
        <x:v>Permanent_Labour_Cost_EUR</x:v>
      </x:c>
      <x:c r="C11" s="113" t="str">
        <x:v>Permanent employee salaries, benefits and payroll costs in EUR.</x:v>
      </x:c>
    </x:row>
    <x:row r="12">
      <x:c r="A12" s="111" t="str">
        <x:v>Historical_Costs</x:v>
      </x:c>
      <x:c r="B12" s="112" t="str">
        <x:v>Temporary_Labour_Cost_EUR</x:v>
      </x:c>
      <x:c r="C12" s="113" t="str">
        <x:v>Temporary agency labour cost in EUR.</x:v>
      </x:c>
    </x:row>
    <x:row r="13">
      <x:c r="A13" s="111" t="str">
        <x:v>Historical_Costs</x:v>
      </x:c>
      <x:c r="B13" s="112" t="str">
        <x:v>Overtime_Cost_EUR</x:v>
      </x:c>
      <x:c r="C13" s="113" t="str">
        <x:v>Overtime premium and related payroll cost in EUR.</x:v>
      </x:c>
    </x:row>
    <x:row r="14">
      <x:c r="A14" s="111" t="str">
        <x:v>Historical_Costs</x:v>
      </x:c>
      <x:c r="B14" s="112" t="str">
        <x:v>Energy_Cost_EUR</x:v>
      </x:c>
      <x:c r="C14" s="113" t="str">
        <x:v>Electricity, heating and utilities cost in EUR.</x:v>
      </x:c>
    </x:row>
    <x:row r="15">
      <x:c r="A15" s="111" t="str">
        <x:v>Historical_Costs</x:v>
      </x:c>
      <x:c r="B15" s="112" t="str">
        <x:v>Maintenance_Cost_EUR</x:v>
      </x:c>
      <x:c r="C15" s="113" t="str">
        <x:v>Facility and equipment maintenance cost in EUR.</x:v>
      </x:c>
    </x:row>
    <x:row r="16">
      <x:c r="A16" s="111" t="str">
        <x:v>Historical_Costs</x:v>
      </x:c>
      <x:c r="B16" s="112" t="str">
        <x:v>Rent_Cost_EUR</x:v>
      </x:c>
      <x:c r="C16" s="113" t="str">
        <x:v>Monthly warehouse lease cost in EUR.</x:v>
      </x:c>
    </x:row>
    <x:row r="17">
      <x:c r="A17" s="111" t="str">
        <x:v>Historical_Costs</x:v>
      </x:c>
      <x:c r="B17" s="112" t="str">
        <x:v>Transport_Cost_EUR</x:v>
      </x:c>
      <x:c r="C17" s="113" t="str">
        <x:v>Outbound transportation cost in EUR.</x:v>
      </x:c>
    </x:row>
    <x:row r="18">
      <x:c r="A18" s="111" t="str">
        <x:v>Historical_Costs</x:v>
      </x:c>
      <x:c r="B18" s="112" t="str">
        <x:v>Other_Cost_EUR</x:v>
      </x:c>
      <x:c r="C18" s="113" t="str">
        <x:v>Other operating costs in EUR.</x:v>
      </x:c>
    </x:row>
    <x:row r="19">
      <x:c r="A19" s="111" t="str">
        <x:v>Forecast_Assumptions</x:v>
      </x:c>
      <x:c r="B19" s="112" t="str">
        <x:v>Forecast_Cases_Shipped</x:v>
      </x:c>
      <x:c r="C19" s="113" t="str">
        <x:v>Management forecast for outbound case volume.</x:v>
      </x:c>
    </x:row>
    <x:row r="20">
      <x:c r="A20" s="111" t="str">
        <x:v>Forecast_Assumptions</x:v>
      </x:c>
      <x:c r="B20" s="112" t="str">
        <x:v>Forecast_Cases_Received</x:v>
      </x:c>
      <x:c r="C20" s="113" t="str">
        <x:v>Management forecast for inbound case volume.</x:v>
      </x:c>
    </x:row>
    <x:row r="21">
      <x:c r="A21" s="111" t="str">
        <x:v>Forecast_Assumptions</x:v>
      </x:c>
      <x:c r="B21" s="112" t="str">
        <x:v>Salary_Inflation_Percent</x:v>
      </x:c>
      <x:c r="C21" s="113" t="str">
        <x:v>Expected annual labour-cost inflation.</x:v>
      </x:c>
    </x:row>
    <x:row r="22">
      <x:c r="A22" s="111" t="str">
        <x:v>Forecast_Assumptions</x:v>
      </x:c>
      <x:c r="B22" s="112" t="str">
        <x:v>Energy_Inflation_Percent</x:v>
      </x:c>
      <x:c r="C22" s="113" t="str">
        <x:v>Expected annual energy-cost inflation.</x:v>
      </x:c>
    </x:row>
    <x:row r="23">
      <x:c r="A23" s="111" t="str">
        <x:v>Forecast_Assumptions</x:v>
      </x:c>
      <x:c r="B23" s="112" t="str">
        <x:v>Transport_Inflation_Percent</x:v>
      </x:c>
      <x:c r="C23" s="113" t="str">
        <x:v>Expected annual transport-cost inflation.</x:v>
      </x:c>
    </x:row>
    <x:row r="24">
      <x:c r="A24" s="111" t="str">
        <x:v>Forecast_Assumptions</x:v>
      </x:c>
      <x:c r="B24" s="112" t="str">
        <x:v>Productivity_Cases_Per_Hour</x:v>
      </x:c>
      <x:c r="C24" s="113" t="str">
        <x:v>Expected cases processed per warehouse labour hour.</x:v>
      </x:c>
    </x:row>
    <x:row r="25">
      <x:c r="A25" s="111" t="str">
        <x:v>Forecast_Assumptions</x:v>
      </x:c>
      <x:c r="B25" s="112" t="str">
        <x:v>Maximum_Pallet_Capacity</x:v>
      </x:c>
      <x:c r="C25" s="113" t="str">
        <x:v>Maximum safe pallet storage capacity.</x:v>
      </x:c>
    </x:row>
    <x:row r="26">
      <x:c r="A26" s="114" t="str">
        <x:v>Forecast_Assumptions</x:v>
      </x:c>
      <x:c r="B26" s="115" t="str">
        <x:v>Average_Cases_Per_Pallet</x:v>
      </x:c>
      <x:c r="C26" s="116" t="str">
        <x:v>Expected average cases held per pallet.</x:v>
      </x:c>
    </x:row>
  </x:sheetData>
  <x:pageMargins left="0.7" right="0.7" top="0.75" bottom="0.75" header="0.3" footer="0.3"/>
  <x:tableParts count="1">
    <x:tablePart xmlns:r="http://schemas.openxmlformats.org/officeDocument/2006/relationships" r:id="Rd050b397055a4f7b"/>
  </x:tableParts>
</x:worksheet>
</file>